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nov.i\Desktop\Отчёты УКР\Проценка\ВЕБ Проценка\"/>
    </mc:Choice>
  </mc:AlternateContent>
  <xr:revisionPtr revIDLastSave="0" documentId="13_ncr:1_{305258E6-6BF0-498C-A45C-5D92B34EFDE2}" xr6:coauthVersionLast="36" xr6:coauthVersionMax="36" xr10:uidLastSave="{00000000-0000-0000-0000-000000000000}"/>
  <bookViews>
    <workbookView xWindow="0" yWindow="0" windowWidth="28800" windowHeight="12225" xr2:uid="{00000000-000D-0000-FFFF-FFFF00000000}"/>
  </bookViews>
  <sheets>
    <sheet name="Проценка" sheetId="2" r:id="rId1"/>
  </sheets>
  <externalReferences>
    <externalReference r:id="rId2"/>
  </externalReferences>
  <definedNames>
    <definedName name="_xlnm._FilterDatabase" localSheetId="0" hidden="1">Проценка!$A$2:$Z$1207</definedName>
  </definedNames>
  <calcPr calcId="191029"/>
</workbook>
</file>

<file path=xl/calcChain.xml><?xml version="1.0" encoding="utf-8"?>
<calcChain xmlns="http://schemas.openxmlformats.org/spreadsheetml/2006/main">
  <c r="K4" i="2" l="1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665" i="2"/>
  <c r="K666" i="2"/>
  <c r="K667" i="2"/>
  <c r="K668" i="2"/>
  <c r="K669" i="2"/>
  <c r="K670" i="2"/>
  <c r="K671" i="2"/>
  <c r="K672" i="2"/>
  <c r="K673" i="2"/>
  <c r="K674" i="2"/>
  <c r="K675" i="2"/>
  <c r="K676" i="2"/>
  <c r="K677" i="2"/>
  <c r="K678" i="2"/>
  <c r="K679" i="2"/>
  <c r="K680" i="2"/>
  <c r="K681" i="2"/>
  <c r="K682" i="2"/>
  <c r="K683" i="2"/>
  <c r="K684" i="2"/>
  <c r="K685" i="2"/>
  <c r="K686" i="2"/>
  <c r="K687" i="2"/>
  <c r="K688" i="2"/>
  <c r="K689" i="2"/>
  <c r="K690" i="2"/>
  <c r="K691" i="2"/>
  <c r="K692" i="2"/>
  <c r="K693" i="2"/>
  <c r="K694" i="2"/>
  <c r="K695" i="2"/>
  <c r="K696" i="2"/>
  <c r="K697" i="2"/>
  <c r="K698" i="2"/>
  <c r="K699" i="2"/>
  <c r="K700" i="2"/>
  <c r="K701" i="2"/>
  <c r="K702" i="2"/>
  <c r="K703" i="2"/>
  <c r="K704" i="2"/>
  <c r="K705" i="2"/>
  <c r="K706" i="2"/>
  <c r="K707" i="2"/>
  <c r="K708" i="2"/>
  <c r="K709" i="2"/>
  <c r="K710" i="2"/>
  <c r="K711" i="2"/>
  <c r="K712" i="2"/>
  <c r="K713" i="2"/>
  <c r="K714" i="2"/>
  <c r="K715" i="2"/>
  <c r="K716" i="2"/>
  <c r="K717" i="2"/>
  <c r="K718" i="2"/>
  <c r="K719" i="2"/>
  <c r="K720" i="2"/>
  <c r="K721" i="2"/>
  <c r="K722" i="2"/>
  <c r="K723" i="2"/>
  <c r="K724" i="2"/>
  <c r="K725" i="2"/>
  <c r="K726" i="2"/>
  <c r="K727" i="2"/>
  <c r="K728" i="2"/>
  <c r="K729" i="2"/>
  <c r="K730" i="2"/>
  <c r="K731" i="2"/>
  <c r="K732" i="2"/>
  <c r="K733" i="2"/>
  <c r="K734" i="2"/>
  <c r="K735" i="2"/>
  <c r="K736" i="2"/>
  <c r="K737" i="2"/>
  <c r="K738" i="2"/>
  <c r="K739" i="2"/>
  <c r="K740" i="2"/>
  <c r="K741" i="2"/>
  <c r="K742" i="2"/>
  <c r="K743" i="2"/>
  <c r="K744" i="2"/>
  <c r="K745" i="2"/>
  <c r="K746" i="2"/>
  <c r="K747" i="2"/>
  <c r="K748" i="2"/>
  <c r="K749" i="2"/>
  <c r="K750" i="2"/>
  <c r="K751" i="2"/>
  <c r="K752" i="2"/>
  <c r="K753" i="2"/>
  <c r="K754" i="2"/>
  <c r="K755" i="2"/>
  <c r="K756" i="2"/>
  <c r="K757" i="2"/>
  <c r="K758" i="2"/>
  <c r="K759" i="2"/>
  <c r="K760" i="2"/>
  <c r="K761" i="2"/>
  <c r="K762" i="2"/>
  <c r="K763" i="2"/>
  <c r="K764" i="2"/>
  <c r="K765" i="2"/>
  <c r="K766" i="2"/>
  <c r="K767" i="2"/>
  <c r="K768" i="2"/>
  <c r="K769" i="2"/>
  <c r="K770" i="2"/>
  <c r="K771" i="2"/>
  <c r="K772" i="2"/>
  <c r="K773" i="2"/>
  <c r="K774" i="2"/>
  <c r="K775" i="2"/>
  <c r="K776" i="2"/>
  <c r="K777" i="2"/>
  <c r="K778" i="2"/>
  <c r="K779" i="2"/>
  <c r="K780" i="2"/>
  <c r="K781" i="2"/>
  <c r="K782" i="2"/>
  <c r="K783" i="2"/>
  <c r="K784" i="2"/>
  <c r="K785" i="2"/>
  <c r="K786" i="2"/>
  <c r="K787" i="2"/>
  <c r="K788" i="2"/>
  <c r="K789" i="2"/>
  <c r="K790" i="2"/>
  <c r="K791" i="2"/>
  <c r="K792" i="2"/>
  <c r="K793" i="2"/>
  <c r="K794" i="2"/>
  <c r="K795" i="2"/>
  <c r="K796" i="2"/>
  <c r="K797" i="2"/>
  <c r="K798" i="2"/>
  <c r="K799" i="2"/>
  <c r="K800" i="2"/>
  <c r="K801" i="2"/>
  <c r="K802" i="2"/>
  <c r="K803" i="2"/>
  <c r="K804" i="2"/>
  <c r="K805" i="2"/>
  <c r="K806" i="2"/>
  <c r="K807" i="2"/>
  <c r="K808" i="2"/>
  <c r="K809" i="2"/>
  <c r="K810" i="2"/>
  <c r="K811" i="2"/>
  <c r="K812" i="2"/>
  <c r="K813" i="2"/>
  <c r="K814" i="2"/>
  <c r="K815" i="2"/>
  <c r="K816" i="2"/>
  <c r="K817" i="2"/>
  <c r="K818" i="2"/>
  <c r="K819" i="2"/>
  <c r="K820" i="2"/>
  <c r="K821" i="2"/>
  <c r="K822" i="2"/>
  <c r="K823" i="2"/>
  <c r="K824" i="2"/>
  <c r="K825" i="2"/>
  <c r="K826" i="2"/>
  <c r="K827" i="2"/>
  <c r="K828" i="2"/>
  <c r="K829" i="2"/>
  <c r="K830" i="2"/>
  <c r="K831" i="2"/>
  <c r="K832" i="2"/>
  <c r="K833" i="2"/>
  <c r="K834" i="2"/>
  <c r="K835" i="2"/>
  <c r="K836" i="2"/>
  <c r="K837" i="2"/>
  <c r="K838" i="2"/>
  <c r="K839" i="2"/>
  <c r="K840" i="2"/>
  <c r="K841" i="2"/>
  <c r="K842" i="2"/>
  <c r="K843" i="2"/>
  <c r="K844" i="2"/>
  <c r="K845" i="2"/>
  <c r="K846" i="2"/>
  <c r="K847" i="2"/>
  <c r="K848" i="2"/>
  <c r="K849" i="2"/>
  <c r="K850" i="2"/>
  <c r="K851" i="2"/>
  <c r="K852" i="2"/>
  <c r="K853" i="2"/>
  <c r="K854" i="2"/>
  <c r="K855" i="2"/>
  <c r="K856" i="2"/>
  <c r="K857" i="2"/>
  <c r="K858" i="2"/>
  <c r="K859" i="2"/>
  <c r="K860" i="2"/>
  <c r="K861" i="2"/>
  <c r="K862" i="2"/>
  <c r="K863" i="2"/>
  <c r="K864" i="2"/>
  <c r="K865" i="2"/>
  <c r="K866" i="2"/>
  <c r="K867" i="2"/>
  <c r="K868" i="2"/>
  <c r="K869" i="2"/>
  <c r="K870" i="2"/>
  <c r="K871" i="2"/>
  <c r="K872" i="2"/>
  <c r="K873" i="2"/>
  <c r="K874" i="2"/>
  <c r="K875" i="2"/>
  <c r="K876" i="2"/>
  <c r="K877" i="2"/>
  <c r="K878" i="2"/>
  <c r="K879" i="2"/>
  <c r="K880" i="2"/>
  <c r="K881" i="2"/>
  <c r="K882" i="2"/>
  <c r="K883" i="2"/>
  <c r="K884" i="2"/>
  <c r="K885" i="2"/>
  <c r="K886" i="2"/>
  <c r="K887" i="2"/>
  <c r="K888" i="2"/>
  <c r="K889" i="2"/>
  <c r="K890" i="2"/>
  <c r="K891" i="2"/>
  <c r="K892" i="2"/>
  <c r="K893" i="2"/>
  <c r="K894" i="2"/>
  <c r="K895" i="2"/>
  <c r="K896" i="2"/>
  <c r="K897" i="2"/>
  <c r="K898" i="2"/>
  <c r="K899" i="2"/>
  <c r="K900" i="2"/>
  <c r="K901" i="2"/>
  <c r="K902" i="2"/>
  <c r="K903" i="2"/>
  <c r="K904" i="2"/>
  <c r="K905" i="2"/>
  <c r="K906" i="2"/>
  <c r="K907" i="2"/>
  <c r="K908" i="2"/>
  <c r="K909" i="2"/>
  <c r="K910" i="2"/>
  <c r="K911" i="2"/>
  <c r="K912" i="2"/>
  <c r="K913" i="2"/>
  <c r="K914" i="2"/>
  <c r="K915" i="2"/>
  <c r="K916" i="2"/>
  <c r="K917" i="2"/>
  <c r="K918" i="2"/>
  <c r="K919" i="2"/>
  <c r="K920" i="2"/>
  <c r="K921" i="2"/>
  <c r="K922" i="2"/>
  <c r="K923" i="2"/>
  <c r="K924" i="2"/>
  <c r="K925" i="2"/>
  <c r="K926" i="2"/>
  <c r="K927" i="2"/>
  <c r="K928" i="2"/>
  <c r="K929" i="2"/>
  <c r="K930" i="2"/>
  <c r="K931" i="2"/>
  <c r="K932" i="2"/>
  <c r="K933" i="2"/>
  <c r="K934" i="2"/>
  <c r="K935" i="2"/>
  <c r="K936" i="2"/>
  <c r="K937" i="2"/>
  <c r="K938" i="2"/>
  <c r="K939" i="2"/>
  <c r="K940" i="2"/>
  <c r="K941" i="2"/>
  <c r="K942" i="2"/>
  <c r="K943" i="2"/>
  <c r="K944" i="2"/>
  <c r="K945" i="2"/>
  <c r="K946" i="2"/>
  <c r="K947" i="2"/>
  <c r="K948" i="2"/>
  <c r="K949" i="2"/>
  <c r="K950" i="2"/>
  <c r="K951" i="2"/>
  <c r="K952" i="2"/>
  <c r="K953" i="2"/>
  <c r="K954" i="2"/>
  <c r="K955" i="2"/>
  <c r="K956" i="2"/>
  <c r="K957" i="2"/>
  <c r="K958" i="2"/>
  <c r="K959" i="2"/>
  <c r="K960" i="2"/>
  <c r="K961" i="2"/>
  <c r="K962" i="2"/>
  <c r="K963" i="2"/>
  <c r="K964" i="2"/>
  <c r="K965" i="2"/>
  <c r="K966" i="2"/>
  <c r="K967" i="2"/>
  <c r="K968" i="2"/>
  <c r="K969" i="2"/>
  <c r="K970" i="2"/>
  <c r="K971" i="2"/>
  <c r="K972" i="2"/>
  <c r="K973" i="2"/>
  <c r="K974" i="2"/>
  <c r="K975" i="2"/>
  <c r="K976" i="2"/>
  <c r="K977" i="2"/>
  <c r="K978" i="2"/>
  <c r="K979" i="2"/>
  <c r="K980" i="2"/>
  <c r="K981" i="2"/>
  <c r="K982" i="2"/>
  <c r="K983" i="2"/>
  <c r="K984" i="2"/>
  <c r="K985" i="2"/>
  <c r="K986" i="2"/>
  <c r="K987" i="2"/>
  <c r="K988" i="2"/>
  <c r="K989" i="2"/>
  <c r="K990" i="2"/>
  <c r="K991" i="2"/>
  <c r="K992" i="2"/>
  <c r="K993" i="2"/>
  <c r="K994" i="2"/>
  <c r="K995" i="2"/>
  <c r="K996" i="2"/>
  <c r="K997" i="2"/>
  <c r="K998" i="2"/>
  <c r="K999" i="2"/>
  <c r="K1000" i="2"/>
  <c r="K1001" i="2"/>
  <c r="K1002" i="2"/>
  <c r="K1003" i="2"/>
  <c r="K1004" i="2"/>
  <c r="K1005" i="2"/>
  <c r="K1006" i="2"/>
  <c r="K1007" i="2"/>
  <c r="K1008" i="2"/>
  <c r="K1009" i="2"/>
  <c r="K1010" i="2"/>
  <c r="K1011" i="2"/>
  <c r="K1012" i="2"/>
  <c r="K1013" i="2"/>
  <c r="K1014" i="2"/>
  <c r="K1015" i="2"/>
  <c r="K1016" i="2"/>
  <c r="K1017" i="2"/>
  <c r="K1018" i="2"/>
  <c r="K1019" i="2"/>
  <c r="K1020" i="2"/>
  <c r="K1021" i="2"/>
  <c r="K1022" i="2"/>
  <c r="K1023" i="2"/>
  <c r="K1024" i="2"/>
  <c r="K1025" i="2"/>
  <c r="K1026" i="2"/>
  <c r="K1027" i="2"/>
  <c r="K1028" i="2"/>
  <c r="K1029" i="2"/>
  <c r="K1030" i="2"/>
  <c r="K1031" i="2"/>
  <c r="K1032" i="2"/>
  <c r="K1033" i="2"/>
  <c r="K1034" i="2"/>
  <c r="K1035" i="2"/>
  <c r="K1036" i="2"/>
  <c r="K1037" i="2"/>
  <c r="K1038" i="2"/>
  <c r="K1039" i="2"/>
  <c r="K1040" i="2"/>
  <c r="K1041" i="2"/>
  <c r="K1042" i="2"/>
  <c r="K1043" i="2"/>
  <c r="K1044" i="2"/>
  <c r="K1045" i="2"/>
  <c r="K1046" i="2"/>
  <c r="K1047" i="2"/>
  <c r="K1048" i="2"/>
  <c r="K1049" i="2"/>
  <c r="K1050" i="2"/>
  <c r="K1051" i="2"/>
  <c r="K1052" i="2"/>
  <c r="K1053" i="2"/>
  <c r="K1054" i="2"/>
  <c r="K1055" i="2"/>
  <c r="K1056" i="2"/>
  <c r="K1057" i="2"/>
  <c r="K1058" i="2"/>
  <c r="K1059" i="2"/>
  <c r="K1060" i="2"/>
  <c r="K1061" i="2"/>
  <c r="K1062" i="2"/>
  <c r="K1063" i="2"/>
  <c r="K1064" i="2"/>
  <c r="K1065" i="2"/>
  <c r="K1066" i="2"/>
  <c r="K1067" i="2"/>
  <c r="K1068" i="2"/>
  <c r="K1069" i="2"/>
  <c r="K1070" i="2"/>
  <c r="K1071" i="2"/>
  <c r="K1072" i="2"/>
  <c r="K1073" i="2"/>
  <c r="K1074" i="2"/>
  <c r="K1075" i="2"/>
  <c r="K1076" i="2"/>
  <c r="K1077" i="2"/>
  <c r="K1078" i="2"/>
  <c r="K1079" i="2"/>
  <c r="K1080" i="2"/>
  <c r="K1081" i="2"/>
  <c r="K1082" i="2"/>
  <c r="K1083" i="2"/>
  <c r="K1084" i="2"/>
  <c r="K1085" i="2"/>
  <c r="K1086" i="2"/>
  <c r="K1087" i="2"/>
  <c r="K1088" i="2"/>
  <c r="K1089" i="2"/>
  <c r="K1090" i="2"/>
  <c r="K1091" i="2"/>
  <c r="K1092" i="2"/>
  <c r="K1093" i="2"/>
  <c r="K1094" i="2"/>
  <c r="K1095" i="2"/>
  <c r="K1096" i="2"/>
  <c r="K1097" i="2"/>
  <c r="K1098" i="2"/>
  <c r="K1099" i="2"/>
  <c r="K1100" i="2"/>
  <c r="K1101" i="2"/>
  <c r="K1102" i="2"/>
  <c r="K1103" i="2"/>
  <c r="K1104" i="2"/>
  <c r="K1105" i="2"/>
  <c r="K1106" i="2"/>
  <c r="K1107" i="2"/>
  <c r="K1108" i="2"/>
  <c r="K1109" i="2"/>
  <c r="K1110" i="2"/>
  <c r="K1111" i="2"/>
  <c r="K1112" i="2"/>
  <c r="K1113" i="2"/>
  <c r="K1114" i="2"/>
  <c r="K1115" i="2"/>
  <c r="K1116" i="2"/>
  <c r="K1117" i="2"/>
  <c r="K1118" i="2"/>
  <c r="K1119" i="2"/>
  <c r="K1120" i="2"/>
  <c r="K1121" i="2"/>
  <c r="K1122" i="2"/>
  <c r="K1123" i="2"/>
  <c r="K1124" i="2"/>
  <c r="K1125" i="2"/>
  <c r="K1126" i="2"/>
  <c r="K1127" i="2"/>
  <c r="K1128" i="2"/>
  <c r="K1129" i="2"/>
  <c r="K1130" i="2"/>
  <c r="K1131" i="2"/>
  <c r="K1132" i="2"/>
  <c r="K1133" i="2"/>
  <c r="K1134" i="2"/>
  <c r="K1135" i="2"/>
  <c r="K1136" i="2"/>
  <c r="K1137" i="2"/>
  <c r="K1138" i="2"/>
  <c r="K1139" i="2"/>
  <c r="K1140" i="2"/>
  <c r="K1141" i="2"/>
  <c r="K1142" i="2"/>
  <c r="K1143" i="2"/>
  <c r="K1144" i="2"/>
  <c r="K1145" i="2"/>
  <c r="K1146" i="2"/>
  <c r="K1147" i="2"/>
  <c r="K1148" i="2"/>
  <c r="K1149" i="2"/>
  <c r="K1150" i="2"/>
  <c r="K1151" i="2"/>
  <c r="K1152" i="2"/>
  <c r="K1153" i="2"/>
  <c r="K1154" i="2"/>
  <c r="K1155" i="2"/>
  <c r="K1156" i="2"/>
  <c r="K1157" i="2"/>
  <c r="K1158" i="2"/>
  <c r="K1159" i="2"/>
  <c r="K1160" i="2"/>
  <c r="K1161" i="2"/>
  <c r="K1162" i="2"/>
  <c r="K1163" i="2"/>
  <c r="K1164" i="2"/>
  <c r="K1165" i="2"/>
  <c r="K1166" i="2"/>
  <c r="K1167" i="2"/>
  <c r="K1168" i="2"/>
  <c r="K1169" i="2"/>
  <c r="K1170" i="2"/>
  <c r="K1171" i="2"/>
  <c r="K1172" i="2"/>
  <c r="K1173" i="2"/>
  <c r="K1174" i="2"/>
  <c r="K1175" i="2"/>
  <c r="K1176" i="2"/>
  <c r="K1177" i="2"/>
  <c r="K1178" i="2"/>
  <c r="K1179" i="2"/>
  <c r="K1180" i="2"/>
  <c r="K1181" i="2"/>
  <c r="K1182" i="2"/>
  <c r="K1183" i="2"/>
  <c r="K1184" i="2"/>
  <c r="K1185" i="2"/>
  <c r="K1186" i="2"/>
  <c r="K1187" i="2"/>
  <c r="K1188" i="2"/>
  <c r="K1189" i="2"/>
  <c r="K1190" i="2"/>
  <c r="K1191" i="2"/>
  <c r="K1192" i="2"/>
  <c r="K1193" i="2"/>
  <c r="K1194" i="2"/>
  <c r="K1195" i="2"/>
  <c r="K1196" i="2"/>
  <c r="K1197" i="2"/>
  <c r="K1198" i="2"/>
  <c r="K1199" i="2"/>
  <c r="K1200" i="2"/>
  <c r="K1201" i="2"/>
  <c r="K1202" i="2"/>
  <c r="K1203" i="2"/>
  <c r="K1204" i="2"/>
  <c r="K1205" i="2"/>
  <c r="K1206" i="2"/>
  <c r="K1207" i="2"/>
  <c r="K3" i="2"/>
  <c r="I27" i="2"/>
  <c r="I44" i="2"/>
  <c r="I45" i="2"/>
  <c r="I47" i="2"/>
  <c r="I48" i="2"/>
  <c r="I53" i="2"/>
  <c r="I54" i="2"/>
  <c r="I55" i="2"/>
  <c r="I56" i="2"/>
  <c r="I61" i="2"/>
  <c r="I62" i="2"/>
  <c r="I63" i="2"/>
  <c r="I65" i="2"/>
  <c r="I66" i="2"/>
  <c r="I69" i="2"/>
  <c r="I70" i="2"/>
  <c r="I79" i="2"/>
  <c r="I80" i="2"/>
  <c r="I83" i="2"/>
  <c r="I84" i="2"/>
  <c r="I90" i="2"/>
  <c r="I91" i="2"/>
  <c r="I94" i="2"/>
  <c r="I96" i="2"/>
  <c r="I97" i="2"/>
  <c r="I103" i="2"/>
  <c r="I104" i="2"/>
  <c r="I105" i="2"/>
  <c r="I106" i="2"/>
  <c r="I107" i="2"/>
  <c r="I108" i="2"/>
  <c r="I110" i="2"/>
  <c r="I113" i="2"/>
  <c r="I114" i="2"/>
  <c r="I115" i="2"/>
  <c r="I117" i="2"/>
  <c r="I118" i="2"/>
  <c r="I120" i="2"/>
  <c r="I122" i="2"/>
  <c r="I123" i="2"/>
  <c r="I124" i="2"/>
  <c r="I125" i="2"/>
  <c r="I126" i="2"/>
  <c r="I127" i="2"/>
  <c r="I128" i="2"/>
  <c r="I129" i="2"/>
  <c r="I130" i="2"/>
  <c r="I132" i="2"/>
  <c r="I133" i="2"/>
  <c r="I134" i="2"/>
  <c r="I135" i="2"/>
  <c r="I138" i="2"/>
  <c r="I145" i="2"/>
  <c r="I147" i="2"/>
  <c r="I149" i="2"/>
  <c r="I153" i="2"/>
  <c r="I154" i="2"/>
  <c r="I155" i="2"/>
  <c r="I156" i="2"/>
  <c r="I157" i="2"/>
  <c r="I160" i="2"/>
  <c r="I161" i="2"/>
  <c r="I162" i="2"/>
  <c r="I163" i="2"/>
  <c r="I164" i="2"/>
  <c r="I165" i="2"/>
  <c r="I166" i="2"/>
  <c r="I168" i="2"/>
  <c r="I169" i="2"/>
  <c r="I179" i="2"/>
  <c r="I180" i="2"/>
  <c r="I181" i="2"/>
  <c r="I183" i="2"/>
  <c r="I184" i="2"/>
  <c r="I185" i="2"/>
  <c r="I186" i="2"/>
  <c r="I187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2" i="2"/>
  <c r="I223" i="2"/>
  <c r="I224" i="2"/>
  <c r="I231" i="2"/>
  <c r="I233" i="2"/>
  <c r="I237" i="2"/>
  <c r="I238" i="2"/>
  <c r="I239" i="2"/>
  <c r="I240" i="2"/>
  <c r="I241" i="2"/>
  <c r="I242" i="2"/>
  <c r="I251" i="2"/>
  <c r="I252" i="2"/>
  <c r="I261" i="2"/>
  <c r="I262" i="2"/>
  <c r="I263" i="2"/>
  <c r="I264" i="2"/>
  <c r="I266" i="2"/>
  <c r="I267" i="2"/>
  <c r="I268" i="2"/>
  <c r="I272" i="2"/>
  <c r="I273" i="2"/>
  <c r="I277" i="2"/>
  <c r="I278" i="2"/>
  <c r="I290" i="2"/>
  <c r="I292" i="2"/>
  <c r="I304" i="2"/>
  <c r="I306" i="2"/>
  <c r="I309" i="2"/>
  <c r="I310" i="2"/>
  <c r="I311" i="2"/>
  <c r="I312" i="2"/>
  <c r="I326" i="2"/>
  <c r="I328" i="2"/>
  <c r="I339" i="2"/>
  <c r="I341" i="2"/>
  <c r="I345" i="2"/>
  <c r="I349" i="2"/>
  <c r="I350" i="2"/>
  <c r="I352" i="2"/>
  <c r="I353" i="2"/>
  <c r="I356" i="2"/>
  <c r="I357" i="2"/>
  <c r="I361" i="2"/>
  <c r="I362" i="2"/>
  <c r="I364" i="2"/>
  <c r="I366" i="2"/>
  <c r="I367" i="2"/>
  <c r="I368" i="2"/>
  <c r="I373" i="2"/>
  <c r="I374" i="2"/>
  <c r="I378" i="2"/>
  <c r="I379" i="2"/>
  <c r="I380" i="2"/>
  <c r="I385" i="2"/>
  <c r="I404" i="2"/>
  <c r="I410" i="2"/>
  <c r="I411" i="2"/>
  <c r="I412" i="2"/>
  <c r="I413" i="2"/>
  <c r="I418" i="2"/>
  <c r="I420" i="2"/>
  <c r="I422" i="2"/>
  <c r="I431" i="2"/>
  <c r="I432" i="2"/>
  <c r="I434" i="2"/>
  <c r="I435" i="2"/>
  <c r="I436" i="2"/>
  <c r="I437" i="2"/>
  <c r="I442" i="2"/>
  <c r="I443" i="2"/>
  <c r="I444" i="2"/>
  <c r="I445" i="2"/>
  <c r="I447" i="2"/>
  <c r="I448" i="2"/>
  <c r="I449" i="2"/>
  <c r="I450" i="2"/>
  <c r="I451" i="2"/>
  <c r="I452" i="2"/>
  <c r="I453" i="2"/>
  <c r="I455" i="2"/>
  <c r="I459" i="2"/>
  <c r="I461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2" i="2"/>
  <c r="I503" i="2"/>
  <c r="I504" i="2"/>
  <c r="I506" i="2"/>
  <c r="I513" i="2"/>
  <c r="I516" i="2"/>
  <c r="I523" i="2"/>
  <c r="I527" i="2"/>
  <c r="I528" i="2"/>
  <c r="I529" i="2"/>
  <c r="I530" i="2"/>
  <c r="I531" i="2"/>
  <c r="I532" i="2"/>
  <c r="I534" i="2"/>
  <c r="I535" i="2"/>
  <c r="I536" i="2"/>
  <c r="I537" i="2"/>
  <c r="I538" i="2"/>
  <c r="I539" i="2"/>
  <c r="I540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6" i="2"/>
  <c r="I557" i="2"/>
  <c r="I561" i="2"/>
  <c r="I568" i="2"/>
  <c r="I569" i="2"/>
  <c r="I571" i="2"/>
  <c r="I572" i="2"/>
  <c r="I573" i="2"/>
  <c r="I574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4" i="2"/>
  <c r="I595" i="2"/>
  <c r="I596" i="2"/>
  <c r="I597" i="2"/>
  <c r="I598" i="2"/>
  <c r="I599" i="2"/>
  <c r="I600" i="2"/>
  <c r="I601" i="2"/>
  <c r="I602" i="2"/>
  <c r="I603" i="2"/>
  <c r="I606" i="2"/>
  <c r="I609" i="2"/>
  <c r="I610" i="2"/>
  <c r="I611" i="2"/>
  <c r="I612" i="2"/>
  <c r="I613" i="2"/>
  <c r="I614" i="2"/>
  <c r="I616" i="2"/>
  <c r="I617" i="2"/>
  <c r="I618" i="2"/>
  <c r="I619" i="2"/>
  <c r="I620" i="2"/>
  <c r="I621" i="2"/>
  <c r="I624" i="2"/>
  <c r="I625" i="2"/>
  <c r="I626" i="2"/>
  <c r="I628" i="2"/>
  <c r="I630" i="2"/>
  <c r="I631" i="2"/>
  <c r="I632" i="2"/>
  <c r="I633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9" i="2"/>
  <c r="I650" i="2"/>
  <c r="I651" i="2"/>
  <c r="I652" i="2"/>
  <c r="I653" i="2"/>
  <c r="I654" i="2"/>
  <c r="I655" i="2"/>
  <c r="I656" i="2"/>
  <c r="I657" i="2"/>
  <c r="I658" i="2"/>
  <c r="I659" i="2"/>
  <c r="I662" i="2"/>
  <c r="I663" i="2"/>
  <c r="I666" i="2"/>
  <c r="I667" i="2"/>
  <c r="I668" i="2"/>
  <c r="I669" i="2"/>
  <c r="I670" i="2"/>
  <c r="I671" i="2"/>
  <c r="I673" i="2"/>
  <c r="I679" i="2"/>
  <c r="I681" i="2"/>
  <c r="I682" i="2"/>
  <c r="I686" i="2"/>
  <c r="I687" i="2"/>
  <c r="I688" i="2"/>
  <c r="I689" i="2"/>
  <c r="I690" i="2"/>
  <c r="I691" i="2"/>
  <c r="I692" i="2"/>
  <c r="I693" i="2"/>
  <c r="I694" i="2"/>
  <c r="I697" i="2"/>
  <c r="I698" i="2"/>
  <c r="I699" i="2"/>
  <c r="I700" i="2"/>
  <c r="I702" i="2"/>
  <c r="I706" i="2"/>
  <c r="I707" i="2"/>
  <c r="I708" i="2"/>
  <c r="I709" i="2"/>
  <c r="I710" i="2"/>
  <c r="I711" i="2"/>
  <c r="I712" i="2"/>
  <c r="I713" i="2"/>
  <c r="I717" i="2"/>
  <c r="I720" i="2"/>
  <c r="I724" i="2"/>
  <c r="I728" i="2"/>
  <c r="I731" i="2"/>
  <c r="I732" i="2"/>
  <c r="I733" i="2"/>
  <c r="I734" i="2"/>
  <c r="I736" i="2"/>
  <c r="I737" i="2"/>
  <c r="I738" i="2"/>
  <c r="I742" i="2"/>
  <c r="I743" i="2"/>
  <c r="I744" i="2"/>
  <c r="I746" i="2"/>
  <c r="I748" i="2"/>
  <c r="I749" i="2"/>
  <c r="I756" i="2"/>
  <c r="I758" i="2"/>
  <c r="I765" i="2"/>
  <c r="I770" i="2"/>
  <c r="I771" i="2"/>
  <c r="I772" i="2"/>
  <c r="I773" i="2"/>
  <c r="I775" i="2"/>
  <c r="I776" i="2"/>
  <c r="I777" i="2"/>
  <c r="I778" i="2"/>
  <c r="I779" i="2"/>
  <c r="I783" i="2"/>
  <c r="I784" i="2"/>
  <c r="I785" i="2"/>
  <c r="I786" i="2"/>
  <c r="I787" i="2"/>
  <c r="I788" i="2"/>
  <c r="I789" i="2"/>
  <c r="I790" i="2"/>
  <c r="I791" i="2"/>
  <c r="I792" i="2"/>
  <c r="I793" i="2"/>
  <c r="I800" i="2"/>
  <c r="I801" i="2"/>
  <c r="I802" i="2"/>
  <c r="I803" i="2"/>
  <c r="I806" i="2"/>
  <c r="I810" i="2"/>
  <c r="I811" i="2"/>
  <c r="I812" i="2"/>
  <c r="I813" i="2"/>
  <c r="I814" i="2"/>
  <c r="I815" i="2"/>
  <c r="I816" i="2"/>
  <c r="I820" i="2"/>
  <c r="I826" i="2"/>
  <c r="I827" i="2"/>
  <c r="I828" i="2"/>
  <c r="I830" i="2"/>
  <c r="I832" i="2"/>
  <c r="I833" i="2"/>
  <c r="I836" i="2"/>
  <c r="I838" i="2"/>
  <c r="I839" i="2"/>
  <c r="I840" i="2"/>
  <c r="I841" i="2"/>
  <c r="I842" i="2"/>
  <c r="I843" i="2"/>
  <c r="I844" i="2"/>
  <c r="I845" i="2"/>
  <c r="I846" i="2"/>
  <c r="I847" i="2"/>
  <c r="I848" i="2"/>
  <c r="I849" i="2"/>
  <c r="I850" i="2"/>
  <c r="I851" i="2"/>
  <c r="I852" i="2"/>
  <c r="I853" i="2"/>
  <c r="I854" i="2"/>
  <c r="I855" i="2"/>
  <c r="I856" i="2"/>
  <c r="I857" i="2"/>
  <c r="I858" i="2"/>
  <c r="I859" i="2"/>
  <c r="I862" i="2"/>
  <c r="I864" i="2"/>
  <c r="I865" i="2"/>
  <c r="I868" i="2"/>
  <c r="I869" i="2"/>
  <c r="I870" i="2"/>
  <c r="I871" i="2"/>
  <c r="I872" i="2"/>
  <c r="I873" i="2"/>
  <c r="I874" i="2"/>
  <c r="I875" i="2"/>
  <c r="I876" i="2"/>
  <c r="I877" i="2"/>
  <c r="I879" i="2"/>
  <c r="I881" i="2"/>
  <c r="I882" i="2"/>
  <c r="I883" i="2"/>
  <c r="I884" i="2"/>
  <c r="I885" i="2"/>
  <c r="I886" i="2"/>
  <c r="I887" i="2"/>
  <c r="I888" i="2"/>
  <c r="I889" i="2"/>
  <c r="I890" i="2"/>
  <c r="I891" i="2"/>
  <c r="I895" i="2"/>
  <c r="I896" i="2"/>
  <c r="I897" i="2"/>
  <c r="I898" i="2"/>
  <c r="I899" i="2"/>
  <c r="I900" i="2"/>
  <c r="I901" i="2"/>
  <c r="I902" i="2"/>
  <c r="I903" i="2"/>
  <c r="I904" i="2"/>
  <c r="I905" i="2"/>
  <c r="I906" i="2"/>
  <c r="I908" i="2"/>
  <c r="I909" i="2"/>
  <c r="I910" i="2"/>
  <c r="I911" i="2"/>
  <c r="I912" i="2"/>
  <c r="I913" i="2"/>
  <c r="I914" i="2"/>
  <c r="I915" i="2"/>
  <c r="I916" i="2"/>
  <c r="I917" i="2"/>
  <c r="I918" i="2"/>
  <c r="I919" i="2"/>
  <c r="I920" i="2"/>
  <c r="I921" i="2"/>
  <c r="I927" i="2"/>
  <c r="I929" i="2"/>
  <c r="I930" i="2"/>
  <c r="I936" i="2"/>
  <c r="I942" i="2"/>
  <c r="I945" i="2"/>
  <c r="I946" i="2"/>
  <c r="I947" i="2"/>
  <c r="I948" i="2"/>
  <c r="I949" i="2"/>
  <c r="I950" i="2"/>
  <c r="I951" i="2"/>
  <c r="I952" i="2"/>
  <c r="I954" i="2"/>
  <c r="I955" i="2"/>
  <c r="I956" i="2"/>
  <c r="I957" i="2"/>
  <c r="I959" i="2"/>
  <c r="I960" i="2"/>
  <c r="I961" i="2"/>
  <c r="I962" i="2"/>
  <c r="I965" i="2"/>
  <c r="I966" i="2"/>
  <c r="I967" i="2"/>
  <c r="I968" i="2"/>
  <c r="I969" i="2"/>
  <c r="I970" i="2"/>
  <c r="I973" i="2"/>
  <c r="I974" i="2"/>
  <c r="I975" i="2"/>
  <c r="I976" i="2"/>
  <c r="I977" i="2"/>
  <c r="I978" i="2"/>
  <c r="I979" i="2"/>
  <c r="I981" i="2"/>
  <c r="I983" i="2"/>
  <c r="I984" i="2"/>
  <c r="I987" i="2"/>
  <c r="I990" i="2"/>
  <c r="I991" i="2"/>
  <c r="I992" i="2"/>
  <c r="I993" i="2"/>
  <c r="I994" i="2"/>
  <c r="I999" i="2"/>
  <c r="I1002" i="2"/>
  <c r="I1010" i="2"/>
  <c r="I1011" i="2"/>
  <c r="I1012" i="2"/>
  <c r="I1013" i="2"/>
  <c r="I1014" i="2"/>
  <c r="I1019" i="2"/>
  <c r="I1020" i="2"/>
  <c r="I1022" i="2"/>
  <c r="I1024" i="2"/>
  <c r="I1025" i="2"/>
  <c r="I1027" i="2"/>
  <c r="I1028" i="2"/>
  <c r="I1029" i="2"/>
  <c r="I1031" i="2"/>
  <c r="I1032" i="2"/>
  <c r="I1033" i="2"/>
  <c r="I1034" i="2"/>
  <c r="I1039" i="2"/>
  <c r="I1040" i="2"/>
  <c r="I1045" i="2"/>
  <c r="I1046" i="2"/>
  <c r="I1047" i="2"/>
  <c r="I1048" i="2"/>
  <c r="I1049" i="2"/>
  <c r="I1050" i="2"/>
  <c r="I1051" i="2"/>
  <c r="I1057" i="2"/>
  <c r="I1060" i="2"/>
  <c r="I1064" i="2"/>
  <c r="I1068" i="2"/>
  <c r="I1069" i="2"/>
  <c r="I1077" i="2"/>
  <c r="I1078" i="2"/>
  <c r="I1082" i="2"/>
  <c r="I1086" i="2"/>
  <c r="I1087" i="2"/>
  <c r="I1089" i="2"/>
  <c r="I1090" i="2"/>
  <c r="I1091" i="2"/>
  <c r="I1092" i="2"/>
  <c r="I1093" i="2"/>
  <c r="I1094" i="2"/>
  <c r="I1100" i="2"/>
  <c r="I1101" i="2"/>
  <c r="I1102" i="2"/>
  <c r="I1103" i="2"/>
  <c r="I1104" i="2"/>
  <c r="I1109" i="2"/>
  <c r="I1113" i="2"/>
  <c r="I1121" i="2"/>
  <c r="I1122" i="2"/>
  <c r="I1123" i="2"/>
  <c r="I1124" i="2"/>
  <c r="I1125" i="2"/>
  <c r="I1126" i="2"/>
  <c r="I1127" i="2"/>
  <c r="I1133" i="2"/>
  <c r="I1140" i="2"/>
  <c r="I1146" i="2"/>
  <c r="I1149" i="2"/>
  <c r="I1150" i="2"/>
  <c r="I1151" i="2"/>
  <c r="I1153" i="2"/>
  <c r="I1154" i="2"/>
  <c r="I1158" i="2"/>
  <c r="I1161" i="2"/>
  <c r="I1162" i="2"/>
  <c r="I1163" i="2"/>
  <c r="I1166" i="2"/>
  <c r="I1167" i="2"/>
  <c r="I1168" i="2"/>
  <c r="I1169" i="2"/>
  <c r="I1170" i="2"/>
  <c r="I1172" i="2"/>
  <c r="I1175" i="2"/>
  <c r="I1176" i="2"/>
  <c r="I1178" i="2"/>
  <c r="I1179" i="2"/>
  <c r="I1185" i="2"/>
  <c r="I1186" i="2"/>
  <c r="I1187" i="2"/>
  <c r="I1191" i="2"/>
  <c r="I1192" i="2"/>
  <c r="I1193" i="2"/>
  <c r="I1194" i="2"/>
  <c r="I1196" i="2"/>
  <c r="I1199" i="2"/>
  <c r="I1201" i="2"/>
  <c r="I1202" i="2"/>
  <c r="I4" i="2"/>
  <c r="I9" i="2"/>
  <c r="I11" i="2"/>
  <c r="I12" i="2"/>
  <c r="I13" i="2"/>
  <c r="I14" i="2"/>
  <c r="I17" i="2"/>
  <c r="I18" i="2"/>
</calcChain>
</file>

<file path=xl/sharedStrings.xml><?xml version="1.0" encoding="utf-8"?>
<sst xmlns="http://schemas.openxmlformats.org/spreadsheetml/2006/main" count="6028" uniqueCount="1870">
  <si>
    <t>Артикул</t>
  </si>
  <si>
    <t>Бренд</t>
  </si>
  <si>
    <t>Цена</t>
  </si>
  <si>
    <t>Поставщик</t>
  </si>
  <si>
    <t>9046709050</t>
  </si>
  <si>
    <t>TOYOTA</t>
  </si>
  <si>
    <t>www.avtoformula.ru</t>
  </si>
  <si>
    <t>3C0853586</t>
  </si>
  <si>
    <t>VAG</t>
  </si>
  <si>
    <t>etp.armtek.ru лег.</t>
  </si>
  <si>
    <t>3G8853996  3Q7</t>
  </si>
  <si>
    <t>autoeuro.ru</t>
  </si>
  <si>
    <t>6Q0810680C</t>
  </si>
  <si>
    <t>LR137782</t>
  </si>
  <si>
    <t>LANDROVER</t>
  </si>
  <si>
    <t>86110F1060</t>
  </si>
  <si>
    <t>HYUNDAI/KIA</t>
  </si>
  <si>
    <t>51119853927</t>
  </si>
  <si>
    <t>BMW</t>
  </si>
  <si>
    <t>6113320XKV3AA</t>
  </si>
  <si>
    <t>GREAT WALL</t>
  </si>
  <si>
    <t>61280SJ020</t>
  </si>
  <si>
    <t>SUBARU</t>
  </si>
  <si>
    <t>638A06958R</t>
  </si>
  <si>
    <t>RENAULT</t>
  </si>
  <si>
    <t>86110D7060</t>
  </si>
  <si>
    <t>86111C5AL0</t>
  </si>
  <si>
    <t>87722N9000CA</t>
  </si>
  <si>
    <t>S203F2713011000</t>
  </si>
  <si>
    <t>CHANGAN</t>
  </si>
  <si>
    <t>265855178R</t>
  </si>
  <si>
    <t>5202302170</t>
  </si>
  <si>
    <t>565807393</t>
  </si>
  <si>
    <t>565807394</t>
  </si>
  <si>
    <t>565807394B</t>
  </si>
  <si>
    <t>62280SG021</t>
  </si>
  <si>
    <t>7816AGNHMVWZ6TFYG</t>
  </si>
  <si>
    <t>FYG</t>
  </si>
  <si>
    <t>7P6854661D 041</t>
  </si>
  <si>
    <t>LR058484</t>
  </si>
  <si>
    <t>LR061729</t>
  </si>
  <si>
    <t>LR086060</t>
  </si>
  <si>
    <t>LR099300</t>
  </si>
  <si>
    <t>LR099329</t>
  </si>
  <si>
    <t>LR100545</t>
  </si>
  <si>
    <t>LR117396</t>
  </si>
  <si>
    <t>LR148258</t>
  </si>
  <si>
    <t>TK4851W60F</t>
  </si>
  <si>
    <t>Mazda</t>
  </si>
  <si>
    <t>11180840339500</t>
  </si>
  <si>
    <t>LADA</t>
  </si>
  <si>
    <t>2803720U2400</t>
  </si>
  <si>
    <t>JAC</t>
  </si>
  <si>
    <t>5022035800</t>
  </si>
  <si>
    <t>GEELY</t>
  </si>
  <si>
    <t>602000037AA</t>
  </si>
  <si>
    <t>8200700969</t>
  </si>
  <si>
    <t>8450007743</t>
  </si>
  <si>
    <t>96231209</t>
  </si>
  <si>
    <t>Ergon</t>
  </si>
  <si>
    <t>KB7W52420</t>
  </si>
  <si>
    <t>7147468919</t>
  </si>
  <si>
    <t>1067002040</t>
  </si>
  <si>
    <t>1107426</t>
  </si>
  <si>
    <t>FORD</t>
  </si>
  <si>
    <t>13258165</t>
  </si>
  <si>
    <t>GENERAL MOTORS</t>
  </si>
  <si>
    <t>1437706</t>
  </si>
  <si>
    <t>1737071</t>
  </si>
  <si>
    <t>1850195</t>
  </si>
  <si>
    <t>1C0867207</t>
  </si>
  <si>
    <t>b2b.autorus.ru</t>
  </si>
  <si>
    <t>1H0823717</t>
  </si>
  <si>
    <t>1H0867199A 01C</t>
  </si>
  <si>
    <t>1J0827713</t>
  </si>
  <si>
    <t>1K0804094A</t>
  </si>
  <si>
    <t>1K0899184</t>
  </si>
  <si>
    <t>1K5804796</t>
  </si>
  <si>
    <t>www.part-kom.ru</t>
  </si>
  <si>
    <t>1K5831299J</t>
  </si>
  <si>
    <t>1K8837087B</t>
  </si>
  <si>
    <t>1Q0825750A</t>
  </si>
  <si>
    <t>1T0971843A</t>
  </si>
  <si>
    <t>21101110428640</t>
  </si>
  <si>
    <t>21179114403400</t>
  </si>
  <si>
    <t>212303721290550</t>
  </si>
  <si>
    <t>GM-AVTOVAZ</t>
  </si>
  <si>
    <t>21900840351200</t>
  </si>
  <si>
    <t>21910840407500</t>
  </si>
  <si>
    <t>21918201232</t>
  </si>
  <si>
    <t>27055101108</t>
  </si>
  <si>
    <t>GAZ</t>
  </si>
  <si>
    <t>282289482R</t>
  </si>
  <si>
    <t>2H0837722</t>
  </si>
  <si>
    <t>2H6805179</t>
  </si>
  <si>
    <t>2H6853037  9B9</t>
  </si>
  <si>
    <t>2H6853038  9B9</t>
  </si>
  <si>
    <t>2H6860565D</t>
  </si>
  <si>
    <t>2H6860565E</t>
  </si>
  <si>
    <t>2H6860985</t>
  </si>
  <si>
    <t>31652</t>
  </si>
  <si>
    <t>Febi</t>
  </si>
  <si>
    <t>33700933</t>
  </si>
  <si>
    <t>TYC</t>
  </si>
  <si>
    <t>388VWL106</t>
  </si>
  <si>
    <t>TYG</t>
  </si>
  <si>
    <t>3AA863545</t>
  </si>
  <si>
    <t>3C0810379</t>
  </si>
  <si>
    <t>3C8919493D</t>
  </si>
  <si>
    <t>3D0955160C</t>
  </si>
  <si>
    <t>403000735AA</t>
  </si>
  <si>
    <t>CHERY</t>
  </si>
  <si>
    <t>4A0867276B</t>
  </si>
  <si>
    <t>4F0823402C</t>
  </si>
  <si>
    <t>4M0864123A4PK</t>
  </si>
  <si>
    <t>51337329754</t>
  </si>
  <si>
    <t>51447124904</t>
  </si>
  <si>
    <t>51777187103</t>
  </si>
  <si>
    <t>5211A207</t>
  </si>
  <si>
    <t>MITSUBISHI</t>
  </si>
  <si>
    <t>5211A208</t>
  </si>
  <si>
    <t>52204A08D40</t>
  </si>
  <si>
    <t>55176248</t>
  </si>
  <si>
    <t>Chrysler</t>
  </si>
  <si>
    <t>5611960020</t>
  </si>
  <si>
    <t>565837385</t>
  </si>
  <si>
    <t>575867369B9B9</t>
  </si>
  <si>
    <t>5900A684</t>
  </si>
  <si>
    <t>5C6857933C</t>
  </si>
  <si>
    <t>5ER807183</t>
  </si>
  <si>
    <t>5ER807184</t>
  </si>
  <si>
    <t>5G0881091</t>
  </si>
  <si>
    <t>5G0886373</t>
  </si>
  <si>
    <t>5G0919491D</t>
  </si>
  <si>
    <t>5JH813270</t>
  </si>
  <si>
    <t>602002166AARU</t>
  </si>
  <si>
    <t>rmsauto.ru</t>
  </si>
  <si>
    <t>602002167AARU</t>
  </si>
  <si>
    <t>607000088AA</t>
  </si>
  <si>
    <t>65245FL000</t>
  </si>
  <si>
    <t>654517763R</t>
  </si>
  <si>
    <t>6Q0867333</t>
  </si>
  <si>
    <t>6R0121093G</t>
  </si>
  <si>
    <t>6R0823347</t>
  </si>
  <si>
    <t>6RF807393A</t>
  </si>
  <si>
    <t>6RF807394A</t>
  </si>
  <si>
    <t>6RU809612A</t>
  </si>
  <si>
    <t>6RU837973C 82V</t>
  </si>
  <si>
    <t>701867299  J51</t>
  </si>
  <si>
    <t>701867299E J51</t>
  </si>
  <si>
    <t>727144785R</t>
  </si>
  <si>
    <t>73126SNAA00</t>
  </si>
  <si>
    <t>HONDA</t>
  </si>
  <si>
    <t>7555342050</t>
  </si>
  <si>
    <t>7682560250</t>
  </si>
  <si>
    <t>769845391R</t>
  </si>
  <si>
    <t>7700354948</t>
  </si>
  <si>
    <t>7703003013</t>
  </si>
  <si>
    <t>7703034308</t>
  </si>
  <si>
    <t>7703074624</t>
  </si>
  <si>
    <t>7D0971798</t>
  </si>
  <si>
    <t>7L0820757</t>
  </si>
  <si>
    <t>7L5853317D</t>
  </si>
  <si>
    <t>7P0317829</t>
  </si>
  <si>
    <t>7PP010831D</t>
  </si>
  <si>
    <t>PORSCHE</t>
  </si>
  <si>
    <t>8200384035</t>
  </si>
  <si>
    <t>8200384036</t>
  </si>
  <si>
    <t>82652G9000</t>
  </si>
  <si>
    <t>82653G9000</t>
  </si>
  <si>
    <t>82654G9000</t>
  </si>
  <si>
    <t>8265A570</t>
  </si>
  <si>
    <t>828B41517R</t>
  </si>
  <si>
    <t>83652G9000</t>
  </si>
  <si>
    <t>8450003330</t>
  </si>
  <si>
    <t>8450003331</t>
  </si>
  <si>
    <t>8450008476</t>
  </si>
  <si>
    <t>8450008478</t>
  </si>
  <si>
    <t>8450008479</t>
  </si>
  <si>
    <t>8450022352</t>
  </si>
  <si>
    <t>8450041872</t>
  </si>
  <si>
    <t>8450041873</t>
  </si>
  <si>
    <t>8450041888</t>
  </si>
  <si>
    <t>8535442010C0</t>
  </si>
  <si>
    <t>861142W000</t>
  </si>
  <si>
    <t>861143D000</t>
  </si>
  <si>
    <t>861303V000</t>
  </si>
  <si>
    <t>861423N000</t>
  </si>
  <si>
    <t>861877399</t>
  </si>
  <si>
    <t>863204H000</t>
  </si>
  <si>
    <t>86514H0000</t>
  </si>
  <si>
    <t>86553H0500</t>
  </si>
  <si>
    <t>86554H0000</t>
  </si>
  <si>
    <t>86554J5000</t>
  </si>
  <si>
    <t>86556J7000</t>
  </si>
  <si>
    <t>86617M0000</t>
  </si>
  <si>
    <t>866253S000</t>
  </si>
  <si>
    <t>86636A7000</t>
  </si>
  <si>
    <t>86655J7000</t>
  </si>
  <si>
    <t>86661J7000</t>
  </si>
  <si>
    <t>866992D000</t>
  </si>
  <si>
    <t>866992M000</t>
  </si>
  <si>
    <t>86842H0000</t>
  </si>
  <si>
    <t>8691021010</t>
  </si>
  <si>
    <t>871151G200</t>
  </si>
  <si>
    <t>871152F200</t>
  </si>
  <si>
    <t>87115G3000</t>
  </si>
  <si>
    <t>87213A2010</t>
  </si>
  <si>
    <t>87213A2520</t>
  </si>
  <si>
    <t>87236R9000</t>
  </si>
  <si>
    <t>873121P000</t>
  </si>
  <si>
    <t>873732J700</t>
  </si>
  <si>
    <t>87373B1000</t>
  </si>
  <si>
    <t>87539J7001</t>
  </si>
  <si>
    <t>8A8Z74104A70A</t>
  </si>
  <si>
    <t>8K5853274P9B9</t>
  </si>
  <si>
    <t>9046705164B0</t>
  </si>
  <si>
    <t>90950t6001</t>
  </si>
  <si>
    <t>9098010928</t>
  </si>
  <si>
    <t>92406C1500</t>
  </si>
  <si>
    <t>92455A7000FFF</t>
  </si>
  <si>
    <t>926013M000</t>
  </si>
  <si>
    <t>92620A2000</t>
  </si>
  <si>
    <t>95534754300</t>
  </si>
  <si>
    <t>96622925</t>
  </si>
  <si>
    <t>971837735</t>
  </si>
  <si>
    <t>985906268R</t>
  </si>
  <si>
    <t>ARG235043R</t>
  </si>
  <si>
    <t>Arirang</t>
  </si>
  <si>
    <t>BML660299R</t>
  </si>
  <si>
    <t>Sailing</t>
  </si>
  <si>
    <t>BR5S500T1B</t>
  </si>
  <si>
    <t>C2D45706</t>
  </si>
  <si>
    <t>JAGUAR</t>
  </si>
  <si>
    <t>EYQ100130</t>
  </si>
  <si>
    <t>GA7B51146</t>
  </si>
  <si>
    <t>KB7W54290</t>
  </si>
  <si>
    <t>KB8A500U1A</t>
  </si>
  <si>
    <t>KB8B51694</t>
  </si>
  <si>
    <t>KD458885702</t>
  </si>
  <si>
    <t>LR012502</t>
  </si>
  <si>
    <t>LR038478</t>
  </si>
  <si>
    <t>LR087728</t>
  </si>
  <si>
    <t>MF453033</t>
  </si>
  <si>
    <t>MU481027</t>
  </si>
  <si>
    <t>MW400115XB</t>
  </si>
  <si>
    <t>N  10406604</t>
  </si>
  <si>
    <t>N91185801</t>
  </si>
  <si>
    <t>R8480AC001EL</t>
  </si>
  <si>
    <t>T2H26120</t>
  </si>
  <si>
    <t>T4A40733LKP</t>
  </si>
  <si>
    <t>U0522038L</t>
  </si>
  <si>
    <t>UkorAuto</t>
  </si>
  <si>
    <t>U0522038R</t>
  </si>
  <si>
    <t>VDMM1</t>
  </si>
  <si>
    <t>AURAMI</t>
  </si>
  <si>
    <t>WHT000869</t>
  </si>
  <si>
    <t>60U813328</t>
  </si>
  <si>
    <t>203001152AA</t>
  </si>
  <si>
    <t>21900620501220</t>
  </si>
  <si>
    <t>316386280401500</t>
  </si>
  <si>
    <t>UAZ</t>
  </si>
  <si>
    <t>4020019DRS0000A00</t>
  </si>
  <si>
    <t>GAC</t>
  </si>
  <si>
    <t xml:space="preserve">4K0845099AGNVB </t>
  </si>
  <si>
    <t>4K5845298C NVB</t>
  </si>
  <si>
    <t>500611001</t>
  </si>
  <si>
    <t>Voyah</t>
  </si>
  <si>
    <t>5072546600</t>
  </si>
  <si>
    <t>51115A4F6E2</t>
  </si>
  <si>
    <t>51747442383</t>
  </si>
  <si>
    <t>51777475603</t>
  </si>
  <si>
    <t>5206100U7301</t>
  </si>
  <si>
    <t>Москвич</t>
  </si>
  <si>
    <t>5206603XST11A-D</t>
  </si>
  <si>
    <t>HAVAL</t>
  </si>
  <si>
    <t>5271306240</t>
  </si>
  <si>
    <t>530104001</t>
  </si>
  <si>
    <t>565845011DNVB</t>
  </si>
  <si>
    <t>5E3853761  2ZZ</t>
  </si>
  <si>
    <t>5G1941006D</t>
  </si>
  <si>
    <t>6001546788</t>
  </si>
  <si>
    <t>6001548956</t>
  </si>
  <si>
    <t>6102953XST01A8P</t>
  </si>
  <si>
    <t>6213340XKV3AA</t>
  </si>
  <si>
    <t>623826757R</t>
  </si>
  <si>
    <t>63115A23581</t>
  </si>
  <si>
    <t>6554AGNVW2B</t>
  </si>
  <si>
    <t>6R0821141B</t>
  </si>
  <si>
    <t>7088078600742</t>
  </si>
  <si>
    <t>7544202490</t>
  </si>
  <si>
    <t>7557112A10</t>
  </si>
  <si>
    <t>7560142160</t>
  </si>
  <si>
    <t>7735042100</t>
  </si>
  <si>
    <t>8159142062</t>
  </si>
  <si>
    <t>8200735103</t>
  </si>
  <si>
    <t>8201734084</t>
  </si>
  <si>
    <t>828730001R</t>
  </si>
  <si>
    <t>83A807733A 9B9</t>
  </si>
  <si>
    <t>8450008391</t>
  </si>
  <si>
    <t>8450106943</t>
  </si>
  <si>
    <t>86140L2100</t>
  </si>
  <si>
    <t>86812G6AA0</t>
  </si>
  <si>
    <t>8W0807062BMX3</t>
  </si>
  <si>
    <t>8W9821106A</t>
  </si>
  <si>
    <t>8W9821172A</t>
  </si>
  <si>
    <t>A00109335</t>
  </si>
  <si>
    <t>BAIC</t>
  </si>
  <si>
    <t>A44788509259999</t>
  </si>
  <si>
    <t>MERCEDES BENZ</t>
  </si>
  <si>
    <t>G03-2803102-01AA</t>
  </si>
  <si>
    <t>KAIYI</t>
  </si>
  <si>
    <t>GAIN001SS11</t>
  </si>
  <si>
    <t>KAB151SB</t>
  </si>
  <si>
    <t>FPI</t>
  </si>
  <si>
    <t>KB8M5182Y</t>
  </si>
  <si>
    <t>LR112392</t>
  </si>
  <si>
    <t>LR178926</t>
  </si>
  <si>
    <t>LR181375</t>
  </si>
  <si>
    <t>MB22010</t>
  </si>
  <si>
    <t>S101068-1600</t>
  </si>
  <si>
    <t>SOLARISVCPLFWHX</t>
  </si>
  <si>
    <t>XYG</t>
  </si>
  <si>
    <t>T4A43597LML</t>
  </si>
  <si>
    <t>000069690R</t>
  </si>
  <si>
    <t>00008401YR</t>
  </si>
  <si>
    <t>PEUGEOT/CITROEN</t>
  </si>
  <si>
    <t>04731SNAA00</t>
  </si>
  <si>
    <t>1111849012</t>
  </si>
  <si>
    <t>11190560108070</t>
  </si>
  <si>
    <t>13296269</t>
  </si>
  <si>
    <t>1373632</t>
  </si>
  <si>
    <t>1746391</t>
  </si>
  <si>
    <t>1766432</t>
  </si>
  <si>
    <t>1862762</t>
  </si>
  <si>
    <t>1867569</t>
  </si>
  <si>
    <t>19A647019B</t>
  </si>
  <si>
    <t>1K0061123  3U6</t>
  </si>
  <si>
    <t>1K5867427K 1BS</t>
  </si>
  <si>
    <t>1T0825721C</t>
  </si>
  <si>
    <t>2051875</t>
  </si>
  <si>
    <t>212308403010000</t>
  </si>
  <si>
    <t>219008403011497</t>
  </si>
  <si>
    <t>Технопласт</t>
  </si>
  <si>
    <t>219108212322345678</t>
  </si>
  <si>
    <t>2221107LLDEM</t>
  </si>
  <si>
    <t>DEPO</t>
  </si>
  <si>
    <t>2237839</t>
  </si>
  <si>
    <t>2309400</t>
  </si>
  <si>
    <t>2394407</t>
  </si>
  <si>
    <t>2456AGSGYMV</t>
  </si>
  <si>
    <t>AGC</t>
  </si>
  <si>
    <t>25310K0250</t>
  </si>
  <si>
    <t>253809U00A</t>
  </si>
  <si>
    <t>NISSAN</t>
  </si>
  <si>
    <t>265544AA1A</t>
  </si>
  <si>
    <t>280305003PK01</t>
  </si>
  <si>
    <t>280305005PK01</t>
  </si>
  <si>
    <t>280309002BKJA</t>
  </si>
  <si>
    <t>280311001</t>
  </si>
  <si>
    <t>281904Y000</t>
  </si>
  <si>
    <t>281C28990R</t>
  </si>
  <si>
    <t>2GK941035</t>
  </si>
  <si>
    <t>2GL945095A</t>
  </si>
  <si>
    <t>2GL945105A</t>
  </si>
  <si>
    <t>2H0857095E 82V</t>
  </si>
  <si>
    <t>2H6853267A GRU</t>
  </si>
  <si>
    <t>2H6853268A GRU</t>
  </si>
  <si>
    <t>2H6853293A GRU</t>
  </si>
  <si>
    <t>2H6853294A GRU</t>
  </si>
  <si>
    <t>2H6853755D</t>
  </si>
  <si>
    <t>2H6853756D</t>
  </si>
  <si>
    <t>2HH853688  YMS</t>
  </si>
  <si>
    <t>30756295</t>
  </si>
  <si>
    <t>VOLVO</t>
  </si>
  <si>
    <t>31253163</t>
  </si>
  <si>
    <t>31297431</t>
  </si>
  <si>
    <t>31349588</t>
  </si>
  <si>
    <t>31349673</t>
  </si>
  <si>
    <t>31395548</t>
  </si>
  <si>
    <t>371101016</t>
  </si>
  <si>
    <t>371102016</t>
  </si>
  <si>
    <t>371601009</t>
  </si>
  <si>
    <t>371602004</t>
  </si>
  <si>
    <t>371701001</t>
  </si>
  <si>
    <t>3AA853898D GRU</t>
  </si>
  <si>
    <t>3C8863082  NV1</t>
  </si>
  <si>
    <t>3C8919493A</t>
  </si>
  <si>
    <t>3CN806239</t>
  </si>
  <si>
    <t>3G0837644A 7Z7</t>
  </si>
  <si>
    <t>3G8809844</t>
  </si>
  <si>
    <t>3Q0959655ATZ01</t>
  </si>
  <si>
    <t>3V0853687G 2ZZ</t>
  </si>
  <si>
    <t>3V5919486A</t>
  </si>
  <si>
    <t>41007412966</t>
  </si>
  <si>
    <t>41008494439</t>
  </si>
  <si>
    <t>4116010SA02</t>
  </si>
  <si>
    <t>DONGFENG</t>
  </si>
  <si>
    <t>4116020SA02</t>
  </si>
  <si>
    <t>4121020SA14</t>
  </si>
  <si>
    <t>4121101XKQ00A</t>
  </si>
  <si>
    <t>41217297944</t>
  </si>
  <si>
    <t>41517420094</t>
  </si>
  <si>
    <t>42118192</t>
  </si>
  <si>
    <t>ATEK</t>
  </si>
  <si>
    <t>4411317LLDUE</t>
  </si>
  <si>
    <t>4592AGNBLM</t>
  </si>
  <si>
    <t>KMK GLASS</t>
  </si>
  <si>
    <t>4E0947415</t>
  </si>
  <si>
    <t>4G0911075</t>
  </si>
  <si>
    <t>4G0943021A</t>
  </si>
  <si>
    <t>4G8809609</t>
  </si>
  <si>
    <t>4G8858532AMGRU</t>
  </si>
  <si>
    <t>4H0845099AJNVB</t>
  </si>
  <si>
    <t>4H4861333A Q0F</t>
  </si>
  <si>
    <t>4K0837644A T94</t>
  </si>
  <si>
    <t>4M0845099SNVB</t>
  </si>
  <si>
    <t>4M0864483F4PK</t>
  </si>
  <si>
    <t>4M0868077B</t>
  </si>
  <si>
    <t>4M8839249</t>
  </si>
  <si>
    <t>4M8845099AANVB</t>
  </si>
  <si>
    <t>5079058100</t>
  </si>
  <si>
    <t>509000367AA</t>
  </si>
  <si>
    <t>51112457471</t>
  </si>
  <si>
    <t>51117295268</t>
  </si>
  <si>
    <t>51117369409</t>
  </si>
  <si>
    <t>51117449682</t>
  </si>
  <si>
    <t>51118056325</t>
  </si>
  <si>
    <t>51118069895</t>
  </si>
  <si>
    <t>51118099895</t>
  </si>
  <si>
    <t>51118746240</t>
  </si>
  <si>
    <t>51127493626</t>
  </si>
  <si>
    <t>51128055965</t>
  </si>
  <si>
    <t>51128098694</t>
  </si>
  <si>
    <t>51137424554</t>
  </si>
  <si>
    <t>MINI</t>
  </si>
  <si>
    <t>51137454887</t>
  </si>
  <si>
    <t>51138075665</t>
  </si>
  <si>
    <t>51138494885</t>
  </si>
  <si>
    <t>51138745726</t>
  </si>
  <si>
    <t>51162993764</t>
  </si>
  <si>
    <t>51167078360</t>
  </si>
  <si>
    <t>51167416110</t>
  </si>
  <si>
    <t>51168059534</t>
  </si>
  <si>
    <t>51168495626</t>
  </si>
  <si>
    <t>51217348744</t>
  </si>
  <si>
    <t>51217421446</t>
  </si>
  <si>
    <t>51227205744</t>
  </si>
  <si>
    <t>51317316800</t>
  </si>
  <si>
    <t>51317333829</t>
  </si>
  <si>
    <t>51317388713</t>
  </si>
  <si>
    <t>51317388744</t>
  </si>
  <si>
    <t>51317409375</t>
  </si>
  <si>
    <t>51317409385</t>
  </si>
  <si>
    <t>51317440765</t>
  </si>
  <si>
    <t>51317440772</t>
  </si>
  <si>
    <t>51317440773</t>
  </si>
  <si>
    <t>51319466316</t>
  </si>
  <si>
    <t>51337329339</t>
  </si>
  <si>
    <t>51337329340</t>
  </si>
  <si>
    <t>51337395385</t>
  </si>
  <si>
    <t>51357247797</t>
  </si>
  <si>
    <t>51357247798</t>
  </si>
  <si>
    <t>51357317844</t>
  </si>
  <si>
    <t>51357433432</t>
  </si>
  <si>
    <t>51357470626</t>
  </si>
  <si>
    <t>51416969403</t>
  </si>
  <si>
    <t>51417936719</t>
  </si>
  <si>
    <t>51419807571</t>
  </si>
  <si>
    <t>51437358952</t>
  </si>
  <si>
    <t>51437358986</t>
  </si>
  <si>
    <t>51438079637</t>
  </si>
  <si>
    <t>51438259815</t>
  </si>
  <si>
    <t>51439133849</t>
  </si>
  <si>
    <t>51447903794</t>
  </si>
  <si>
    <t>51470426781</t>
  </si>
  <si>
    <t>51477222191</t>
  </si>
  <si>
    <t>51477260929</t>
  </si>
  <si>
    <t>51477393397</t>
  </si>
  <si>
    <t>51497172148</t>
  </si>
  <si>
    <t>51647469801</t>
  </si>
  <si>
    <t>51657266475</t>
  </si>
  <si>
    <t>51657266476</t>
  </si>
  <si>
    <t>51712240775</t>
  </si>
  <si>
    <t>51777319861</t>
  </si>
  <si>
    <t>51778064825</t>
  </si>
  <si>
    <t>51778072570</t>
  </si>
  <si>
    <t>520001010</t>
  </si>
  <si>
    <t>5215542050</t>
  </si>
  <si>
    <t>5215560100</t>
  </si>
  <si>
    <t>5216960080C0</t>
  </si>
  <si>
    <t>5217960080</t>
  </si>
  <si>
    <t>5232629</t>
  </si>
  <si>
    <t>5241148030</t>
  </si>
  <si>
    <t>5244878020</t>
  </si>
  <si>
    <t>5256242060</t>
  </si>
  <si>
    <t>5257533130</t>
  </si>
  <si>
    <t>5261148181</t>
  </si>
  <si>
    <t>5261158050</t>
  </si>
  <si>
    <t>5261560050</t>
  </si>
  <si>
    <t>5301500SA01D</t>
  </si>
  <si>
    <t>5311242340</t>
  </si>
  <si>
    <t>5329533130</t>
  </si>
  <si>
    <t>5370C005</t>
  </si>
  <si>
    <t>5370C006</t>
  </si>
  <si>
    <t>5380460060</t>
  </si>
  <si>
    <t>5401102XST01A-D</t>
  </si>
  <si>
    <t>5509100XKQ10A</t>
  </si>
  <si>
    <t>553000189AADYJ</t>
  </si>
  <si>
    <t>554000210AA</t>
  </si>
  <si>
    <t>5610147997</t>
  </si>
  <si>
    <t>5610148A80</t>
  </si>
  <si>
    <t>5610160A00</t>
  </si>
  <si>
    <t>5610160F21</t>
  </si>
  <si>
    <t>5610178957</t>
  </si>
  <si>
    <t>5614100XKN04A</t>
  </si>
  <si>
    <t>5614100XST01A</t>
  </si>
  <si>
    <t>565807050</t>
  </si>
  <si>
    <t>565807393B</t>
  </si>
  <si>
    <t>565807394D</t>
  </si>
  <si>
    <t>565820951C RYP</t>
  </si>
  <si>
    <t>565857522</t>
  </si>
  <si>
    <t>565857811  RAA</t>
  </si>
  <si>
    <t>565963107</t>
  </si>
  <si>
    <t>5757A292</t>
  </si>
  <si>
    <t>5760878010</t>
  </si>
  <si>
    <t>57A807183</t>
  </si>
  <si>
    <t>57A807863</t>
  </si>
  <si>
    <t>57A839912B 5AP</t>
  </si>
  <si>
    <t>57A853687A2ZZ</t>
  </si>
  <si>
    <t>57A854949  9B9</t>
  </si>
  <si>
    <t>57A854950  9B9</t>
  </si>
  <si>
    <t>57A854969  9B9</t>
  </si>
  <si>
    <t>57A854970  9B9</t>
  </si>
  <si>
    <t>57A854989  9B9</t>
  </si>
  <si>
    <t>57A854990  9B9</t>
  </si>
  <si>
    <t>57A945307</t>
  </si>
  <si>
    <t>57A945308</t>
  </si>
  <si>
    <t>57B857508Q</t>
  </si>
  <si>
    <t>57R845011A NVB</t>
  </si>
  <si>
    <t>5817A261</t>
  </si>
  <si>
    <t>5830742022</t>
  </si>
  <si>
    <t>5835660030</t>
  </si>
  <si>
    <t>5C6837432  5AP</t>
  </si>
  <si>
    <t>5C6867427Q 1BS</t>
  </si>
  <si>
    <t>5C6898515</t>
  </si>
  <si>
    <t>5E0941701B</t>
  </si>
  <si>
    <t>5E3807109A</t>
  </si>
  <si>
    <t>5E6839697B 5AP</t>
  </si>
  <si>
    <t>5E6945307A</t>
  </si>
  <si>
    <t>5E6945308A</t>
  </si>
  <si>
    <t>5ER807377</t>
  </si>
  <si>
    <t>5F9Z74106A95AA</t>
  </si>
  <si>
    <t>5JA941701A</t>
  </si>
  <si>
    <t>5JH823359</t>
  </si>
  <si>
    <t>5JJ853492COOR</t>
  </si>
  <si>
    <t>5L0853542B9B9</t>
  </si>
  <si>
    <t>5NA807393A</t>
  </si>
  <si>
    <t>5NA807394</t>
  </si>
  <si>
    <t>5NA813332D</t>
  </si>
  <si>
    <t>5NA853651BEZLL</t>
  </si>
  <si>
    <t>5NA854950AFRYP</t>
  </si>
  <si>
    <t>5NA867449  18B</t>
  </si>
  <si>
    <t>5NA919415</t>
  </si>
  <si>
    <t>5NA945307H</t>
  </si>
  <si>
    <t>5NA945308H</t>
  </si>
  <si>
    <t>5NB857705A RAA</t>
  </si>
  <si>
    <t>5Q0121367G</t>
  </si>
  <si>
    <t>601000306AADQJ</t>
  </si>
  <si>
    <t>6013028500</t>
  </si>
  <si>
    <t>602000444AABCE</t>
  </si>
  <si>
    <t>602001192AADQJ</t>
  </si>
  <si>
    <t>602001424AA</t>
  </si>
  <si>
    <t>602001901AA</t>
  </si>
  <si>
    <t>602002126AA</t>
  </si>
  <si>
    <t>605000784AA</t>
  </si>
  <si>
    <t>605000785AA</t>
  </si>
  <si>
    <t>6073068500</t>
  </si>
  <si>
    <t>6073068600</t>
  </si>
  <si>
    <t>609001391AA</t>
  </si>
  <si>
    <t>609001619AA</t>
  </si>
  <si>
    <t>60U807109B</t>
  </si>
  <si>
    <t>60U867013G CCI</t>
  </si>
  <si>
    <t>60U867014A CGQD</t>
  </si>
  <si>
    <t>60U880204D</t>
  </si>
  <si>
    <t>6102A909</t>
  </si>
  <si>
    <t>6102B049</t>
  </si>
  <si>
    <t>6102B069</t>
  </si>
  <si>
    <t>6102B134</t>
  </si>
  <si>
    <t>610807001</t>
  </si>
  <si>
    <t>610808001</t>
  </si>
  <si>
    <t>6113133100</t>
  </si>
  <si>
    <t>6137559</t>
  </si>
  <si>
    <t>ALKAR</t>
  </si>
  <si>
    <t>620803001</t>
  </si>
  <si>
    <t>620804001</t>
  </si>
  <si>
    <t>622225JG0AL080</t>
  </si>
  <si>
    <t>622235JG0AL080</t>
  </si>
  <si>
    <t>623103110R</t>
  </si>
  <si>
    <t>623120554R</t>
  </si>
  <si>
    <t>630105001</t>
  </si>
  <si>
    <t>6306100XKR02A</t>
  </si>
  <si>
    <t>630901001</t>
  </si>
  <si>
    <t>63115A0E5F1</t>
  </si>
  <si>
    <t>63115A0E5F2</t>
  </si>
  <si>
    <t>63115A21CA2</t>
  </si>
  <si>
    <t>63117214951</t>
  </si>
  <si>
    <t>63117214963</t>
  </si>
  <si>
    <t>63118496163</t>
  </si>
  <si>
    <t>63119479261</t>
  </si>
  <si>
    <t>63127697757</t>
  </si>
  <si>
    <t>63217420748</t>
  </si>
  <si>
    <t>6402A534</t>
  </si>
  <si>
    <t>6405A197</t>
  </si>
  <si>
    <t>6405A240XA</t>
  </si>
  <si>
    <t>641012W510</t>
  </si>
  <si>
    <t>64101A7001</t>
  </si>
  <si>
    <t>64229115858</t>
  </si>
  <si>
    <t>6442933020</t>
  </si>
  <si>
    <t>6451033191</t>
  </si>
  <si>
    <t>6452033081</t>
  </si>
  <si>
    <t>64605M0000</t>
  </si>
  <si>
    <t>646064L000</t>
  </si>
  <si>
    <t>656370R050</t>
  </si>
  <si>
    <t>656380R050</t>
  </si>
  <si>
    <t>657851C300</t>
  </si>
  <si>
    <t>668113292R</t>
  </si>
  <si>
    <t>676650027</t>
  </si>
  <si>
    <t>Bosch</t>
  </si>
  <si>
    <t>676650028</t>
  </si>
  <si>
    <t>6788860020</t>
  </si>
  <si>
    <t>6911D672</t>
  </si>
  <si>
    <t xml:space="preserve">69910L2000 </t>
  </si>
  <si>
    <t xml:space="preserve">69920L2000 </t>
  </si>
  <si>
    <t>6K0803615C</t>
  </si>
  <si>
    <t>6N5827469D DPJ</t>
  </si>
  <si>
    <t>6Q0803091N</t>
  </si>
  <si>
    <t>6Q0810679F</t>
  </si>
  <si>
    <t>6R0511115J</t>
  </si>
  <si>
    <t>6RU810972A</t>
  </si>
  <si>
    <t>6RU813178</t>
  </si>
  <si>
    <t>6RU817111</t>
  </si>
  <si>
    <t>6RU853665C9B9</t>
  </si>
  <si>
    <t>6RU881406ANJVH</t>
  </si>
  <si>
    <t>6RU881775L</t>
  </si>
  <si>
    <t>6RU881805P FAN</t>
  </si>
  <si>
    <t>7043AGNGNM</t>
  </si>
  <si>
    <t>71140H5A00</t>
  </si>
  <si>
    <t>7131207D10</t>
  </si>
  <si>
    <t>7132207D10</t>
  </si>
  <si>
    <t>71322D7D10</t>
  </si>
  <si>
    <t>727124327R</t>
  </si>
  <si>
    <t>727124348R</t>
  </si>
  <si>
    <t>727129445R</t>
  </si>
  <si>
    <t>727129727R</t>
  </si>
  <si>
    <t>72714JY01A</t>
  </si>
  <si>
    <t>727525JG0AL013</t>
  </si>
  <si>
    <t>738538245R</t>
  </si>
  <si>
    <t>739108985R</t>
  </si>
  <si>
    <t>745374</t>
  </si>
  <si>
    <t>7507578010</t>
  </si>
  <si>
    <t>75447YY080</t>
  </si>
  <si>
    <t>7561160111B0</t>
  </si>
  <si>
    <t>756500470R</t>
  </si>
  <si>
    <t>7573060100</t>
  </si>
  <si>
    <t>7576502020</t>
  </si>
  <si>
    <t>7592112080</t>
  </si>
  <si>
    <t>760318641R</t>
  </si>
  <si>
    <t>760837915B</t>
  </si>
  <si>
    <t xml:space="preserve">760867233A 3HM </t>
  </si>
  <si>
    <t>765160279R</t>
  </si>
  <si>
    <t>767425001R</t>
  </si>
  <si>
    <t>768603311R</t>
  </si>
  <si>
    <t>768619081R</t>
  </si>
  <si>
    <t>769360008R</t>
  </si>
  <si>
    <t>769389678R</t>
  </si>
  <si>
    <t>77004D3000</t>
  </si>
  <si>
    <t>7701069204</t>
  </si>
  <si>
    <t>781405101R</t>
  </si>
  <si>
    <t>7815AGNGNM</t>
  </si>
  <si>
    <t>7E3825671G</t>
  </si>
  <si>
    <t>7E5863731M UH3</t>
  </si>
  <si>
    <t>7L6819523C</t>
  </si>
  <si>
    <t>7L6947105B</t>
  </si>
  <si>
    <t>7P0857552F PC3</t>
  </si>
  <si>
    <t>7P1868169B E74</t>
  </si>
  <si>
    <t>7P6854939JGRU</t>
  </si>
  <si>
    <t>7P6867469  DOZ</t>
  </si>
  <si>
    <t>801000399R</t>
  </si>
  <si>
    <t>803274275R</t>
  </si>
  <si>
    <t>803302016R</t>
  </si>
  <si>
    <t>803312388R</t>
  </si>
  <si>
    <t>808203894R</t>
  </si>
  <si>
    <t>808644919R</t>
  </si>
  <si>
    <t>808658467R</t>
  </si>
  <si>
    <t>808725725R</t>
  </si>
  <si>
    <t>80A807434DGRU</t>
  </si>
  <si>
    <t>80A880442F</t>
  </si>
  <si>
    <t>80F807852  GRU</t>
  </si>
  <si>
    <t>81125L2000</t>
  </si>
  <si>
    <t>8158033340</t>
  </si>
  <si>
    <t>8158133320</t>
  </si>
  <si>
    <t>8158142151</t>
  </si>
  <si>
    <t>8159033350</t>
  </si>
  <si>
    <t>8159142060</t>
  </si>
  <si>
    <t>8200763424</t>
  </si>
  <si>
    <t>820205001</t>
  </si>
  <si>
    <t>820206001</t>
  </si>
  <si>
    <t>821008733R</t>
  </si>
  <si>
    <t>8210200U344211</t>
  </si>
  <si>
    <t>82305C1400VTR</t>
  </si>
  <si>
    <t>82530J5000</t>
  </si>
  <si>
    <t>82540J5000</t>
  </si>
  <si>
    <t>8264A132YD</t>
  </si>
  <si>
    <t>82651G9200</t>
  </si>
  <si>
    <t>83130J7000</t>
  </si>
  <si>
    <t>831404X200</t>
  </si>
  <si>
    <t>832203V010</t>
  </si>
  <si>
    <t>832803W020</t>
  </si>
  <si>
    <t>8331A179</t>
  </si>
  <si>
    <t>8331A180</t>
  </si>
  <si>
    <t>83410M6011</t>
  </si>
  <si>
    <t>83520M0000</t>
  </si>
  <si>
    <t>83530J5000</t>
  </si>
  <si>
    <t>83543F1000</t>
  </si>
  <si>
    <t>83651G9000</t>
  </si>
  <si>
    <t>83665H5000</t>
  </si>
  <si>
    <t>83G5AGNHMV</t>
  </si>
  <si>
    <t>840205001</t>
  </si>
  <si>
    <t>840208002DYBJ</t>
  </si>
  <si>
    <t>840303002DYBJ</t>
  </si>
  <si>
    <t>840304002DYBJ</t>
  </si>
  <si>
    <t>84116L2000</t>
  </si>
  <si>
    <t>84142J7000</t>
  </si>
  <si>
    <t>8419AGNBLAHMV</t>
  </si>
  <si>
    <t>8424AGSGNP</t>
  </si>
  <si>
    <t>8450006537</t>
  </si>
  <si>
    <t>8450007421</t>
  </si>
  <si>
    <t>8450008043</t>
  </si>
  <si>
    <t>8450031033</t>
  </si>
  <si>
    <t>8450038131</t>
  </si>
  <si>
    <t>849507078R</t>
  </si>
  <si>
    <t>849758635R</t>
  </si>
  <si>
    <t>85710A6400RY</t>
  </si>
  <si>
    <t>85860H5000TTX</t>
  </si>
  <si>
    <t>85885H5000TRY</t>
  </si>
  <si>
    <t>86111D2030</t>
  </si>
  <si>
    <t>86111L1410</t>
  </si>
  <si>
    <t>86111M6120</t>
  </si>
  <si>
    <t>86111S1020</t>
  </si>
  <si>
    <t>861302T000</t>
  </si>
  <si>
    <t>861312W000</t>
  </si>
  <si>
    <t>86132D2000</t>
  </si>
  <si>
    <t>86137D2000</t>
  </si>
  <si>
    <t>86138D2000</t>
  </si>
  <si>
    <t>86300L2000</t>
  </si>
  <si>
    <t>86321F2000</t>
  </si>
  <si>
    <t>86350H0500</t>
  </si>
  <si>
    <t>86351P2100</t>
  </si>
  <si>
    <t>86351P2110</t>
  </si>
  <si>
    <t>863594L500</t>
  </si>
  <si>
    <t>86523H0500</t>
  </si>
  <si>
    <t>86523H0510</t>
  </si>
  <si>
    <t>86524H0500</t>
  </si>
  <si>
    <t>86560H5000</t>
  </si>
  <si>
    <t>86561D4520</t>
  </si>
  <si>
    <t>86570H5000</t>
  </si>
  <si>
    <t>86571B8500</t>
  </si>
  <si>
    <t>86613H0000</t>
  </si>
  <si>
    <t>86613H0500</t>
  </si>
  <si>
    <t>86613H5000</t>
  </si>
  <si>
    <t>86614H0500</t>
  </si>
  <si>
    <t>866201G600</t>
  </si>
  <si>
    <t>866231G610</t>
  </si>
  <si>
    <t>866301G600</t>
  </si>
  <si>
    <t>86631C5000</t>
  </si>
  <si>
    <t>86631M6200</t>
  </si>
  <si>
    <t>86641J7000</t>
  </si>
  <si>
    <t>86651L2000</t>
  </si>
  <si>
    <t>86696J7000</t>
  </si>
  <si>
    <t>86697L2300</t>
  </si>
  <si>
    <t>86811A7000</t>
  </si>
  <si>
    <t>868153Z000</t>
  </si>
  <si>
    <t>86821M0100</t>
  </si>
  <si>
    <t>868849455R</t>
  </si>
  <si>
    <t>87130H5000</t>
  </si>
  <si>
    <t>87310R0100</t>
  </si>
  <si>
    <t>87621B8020</t>
  </si>
  <si>
    <t>87722Q5000</t>
  </si>
  <si>
    <t>87771D4500</t>
  </si>
  <si>
    <t>87772D4500</t>
  </si>
  <si>
    <t>87810J7100</t>
  </si>
  <si>
    <t>87860R0100SCR</t>
  </si>
  <si>
    <t>88531333002</t>
  </si>
  <si>
    <t>DIAMOND</t>
  </si>
  <si>
    <t>8A8Z74102B41B</t>
  </si>
  <si>
    <t>8A8Z74104A71A</t>
  </si>
  <si>
    <t>8R0807521A4U8</t>
  </si>
  <si>
    <t>8T8809838</t>
  </si>
  <si>
    <t>8T8857410E3FZ</t>
  </si>
  <si>
    <t>8V0839885</t>
  </si>
  <si>
    <t>8W0807682B 9B9</t>
  </si>
  <si>
    <t>8W0821106A</t>
  </si>
  <si>
    <t>8W0845099T NVB</t>
  </si>
  <si>
    <t>8W1819636C 6PS</t>
  </si>
  <si>
    <t>8W5945097D</t>
  </si>
  <si>
    <t>8W6877439</t>
  </si>
  <si>
    <t>8Y0837205A</t>
  </si>
  <si>
    <t>8Y0839239A GRU</t>
  </si>
  <si>
    <t>901006293R</t>
  </si>
  <si>
    <t>91036FL214</t>
  </si>
  <si>
    <t>91111AL270</t>
  </si>
  <si>
    <t>91123FL150</t>
  </si>
  <si>
    <t>91800D4720</t>
  </si>
  <si>
    <t>92101L2000</t>
  </si>
  <si>
    <t>92102A2390</t>
  </si>
  <si>
    <t>92102F2500QQH</t>
  </si>
  <si>
    <t>92152J7000</t>
  </si>
  <si>
    <t>92201H0000</t>
  </si>
  <si>
    <t>92201H0200</t>
  </si>
  <si>
    <t>92202D4600</t>
  </si>
  <si>
    <t>92202H5500</t>
  </si>
  <si>
    <t>92207H0100</t>
  </si>
  <si>
    <t>92207J7000</t>
  </si>
  <si>
    <t>92207M0000</t>
  </si>
  <si>
    <t>92208J7000</t>
  </si>
  <si>
    <t>92208M0000</t>
  </si>
  <si>
    <t>92401R0100</t>
  </si>
  <si>
    <t>92401S1500</t>
  </si>
  <si>
    <t>924022W600</t>
  </si>
  <si>
    <t>924024L700</t>
  </si>
  <si>
    <t>92402S1500</t>
  </si>
  <si>
    <t>92403H5100</t>
  </si>
  <si>
    <t>92403M0100</t>
  </si>
  <si>
    <t>92403S1500</t>
  </si>
  <si>
    <t>92404D4280QQK</t>
  </si>
  <si>
    <t>92404H5100</t>
  </si>
  <si>
    <t>92405A7500</t>
  </si>
  <si>
    <t>92405H0200</t>
  </si>
  <si>
    <t>92405J7000</t>
  </si>
  <si>
    <t>92406D3510</t>
  </si>
  <si>
    <t>924132T610</t>
  </si>
  <si>
    <t>93013SG050</t>
  </si>
  <si>
    <t>95491921</t>
  </si>
  <si>
    <t>95550506103G2X</t>
  </si>
  <si>
    <t>95850572500G2X</t>
  </si>
  <si>
    <t>95863117802</t>
  </si>
  <si>
    <t>958941030H</t>
  </si>
  <si>
    <t>95B880242</t>
  </si>
  <si>
    <t>963019236R</t>
  </si>
  <si>
    <t>96425285</t>
  </si>
  <si>
    <t>970504634091E0</t>
  </si>
  <si>
    <t>97052116128DAL</t>
  </si>
  <si>
    <t>97057598101</t>
  </si>
  <si>
    <t>971845099S</t>
  </si>
  <si>
    <t>990442212R</t>
  </si>
  <si>
    <t>990445322R</t>
  </si>
  <si>
    <t>9Y0867102  OV3</t>
  </si>
  <si>
    <t>A00052769DY</t>
  </si>
  <si>
    <t>A2056701100</t>
  </si>
  <si>
    <t>A2476802803</t>
  </si>
  <si>
    <t>MERCEDES-BENZ</t>
  </si>
  <si>
    <t>A2476981000</t>
  </si>
  <si>
    <t>A2477273601</t>
  </si>
  <si>
    <t>A2478841000</t>
  </si>
  <si>
    <t>A2478850100</t>
  </si>
  <si>
    <t>A2536910403</t>
  </si>
  <si>
    <t>B015273</t>
  </si>
  <si>
    <t>B015343</t>
  </si>
  <si>
    <t>B015347</t>
  </si>
  <si>
    <t>B016690</t>
  </si>
  <si>
    <t>B017391</t>
  </si>
  <si>
    <t>B017408</t>
  </si>
  <si>
    <t>B017409</t>
  </si>
  <si>
    <t>BB5Z7441020A</t>
  </si>
  <si>
    <t>BB5Z7825324A</t>
  </si>
  <si>
    <t>BB5Z7827886B</t>
  </si>
  <si>
    <t>BB5Z7827887B</t>
  </si>
  <si>
    <t>BHR251041B</t>
  </si>
  <si>
    <t>BMF1513460R</t>
  </si>
  <si>
    <t>BODYPARTS</t>
  </si>
  <si>
    <t>D350515M0E</t>
  </si>
  <si>
    <t>EH6251150H</t>
  </si>
  <si>
    <t>EH6251160H</t>
  </si>
  <si>
    <t>GBEF5515002</t>
  </si>
  <si>
    <t>GDDC51721A</t>
  </si>
  <si>
    <t>GRF5515M0A</t>
  </si>
  <si>
    <t>GRY06915ZC</t>
  </si>
  <si>
    <t>GS1D691C1B</t>
  </si>
  <si>
    <t>GS2A505A1BPR</t>
  </si>
  <si>
    <t>GSH750103</t>
  </si>
  <si>
    <t>GSH750A11BB</t>
  </si>
  <si>
    <t>GSH750EL1BB</t>
  </si>
  <si>
    <t>GSJ151041A</t>
  </si>
  <si>
    <t>J9C15013</t>
  </si>
  <si>
    <t>JH02ACT17029</t>
  </si>
  <si>
    <t>Jorden</t>
  </si>
  <si>
    <t>KB8M51031D</t>
  </si>
  <si>
    <t>KBY058769</t>
  </si>
  <si>
    <t>KC7R69121B</t>
  </si>
  <si>
    <t>KD5350070</t>
  </si>
  <si>
    <t>KD5350260D</t>
  </si>
  <si>
    <t>LR025557</t>
  </si>
  <si>
    <t>LR025837</t>
  </si>
  <si>
    <t>LR040667</t>
  </si>
  <si>
    <t>LR046330</t>
  </si>
  <si>
    <t>LR051570</t>
  </si>
  <si>
    <t>LR052687</t>
  </si>
  <si>
    <t>LR061085</t>
  </si>
  <si>
    <t>LR061593</t>
  </si>
  <si>
    <t>LR061808</t>
  </si>
  <si>
    <t>LR063648</t>
  </si>
  <si>
    <t>LR063770</t>
  </si>
  <si>
    <t>LR069740</t>
  </si>
  <si>
    <t>LR070966</t>
  </si>
  <si>
    <t>LR075623</t>
  </si>
  <si>
    <t>LR079945</t>
  </si>
  <si>
    <t>LR082948</t>
  </si>
  <si>
    <t>LR083081</t>
  </si>
  <si>
    <t>LR093156</t>
  </si>
  <si>
    <t>LR098312</t>
  </si>
  <si>
    <t>LR114150</t>
  </si>
  <si>
    <t>LR118374</t>
  </si>
  <si>
    <t>LR131337</t>
  </si>
  <si>
    <t>LR139458</t>
  </si>
  <si>
    <t>LR144293</t>
  </si>
  <si>
    <t>LR144890</t>
  </si>
  <si>
    <t>LR144891</t>
  </si>
  <si>
    <t>LR144901</t>
  </si>
  <si>
    <t>LR144916</t>
  </si>
  <si>
    <t>LR155942</t>
  </si>
  <si>
    <t>LR159605</t>
  </si>
  <si>
    <t>LR181377</t>
  </si>
  <si>
    <t xml:space="preserve">LR181912 </t>
  </si>
  <si>
    <t>M92803011402</t>
  </si>
  <si>
    <t>MZ331344</t>
  </si>
  <si>
    <t>MZ331345</t>
  </si>
  <si>
    <t>MZ331440</t>
  </si>
  <si>
    <t>OEM0076BAG</t>
  </si>
  <si>
    <t>Oem</t>
  </si>
  <si>
    <t>P3ARK13C</t>
  </si>
  <si>
    <t>Pulo</t>
  </si>
  <si>
    <t>PAB87722300</t>
  </si>
  <si>
    <t>PAB877439A</t>
  </si>
  <si>
    <t>PAB89892500</t>
  </si>
  <si>
    <t>PW1890K002</t>
  </si>
  <si>
    <t>PZ32260081E0</t>
  </si>
  <si>
    <t>RN10042AR</t>
  </si>
  <si>
    <t>RNL0579801R</t>
  </si>
  <si>
    <t>SKDT0069</t>
  </si>
  <si>
    <t>ST2212051R</t>
  </si>
  <si>
    <t>SAT</t>
  </si>
  <si>
    <t>STSDK70162</t>
  </si>
  <si>
    <t>T4A38165</t>
  </si>
  <si>
    <t>T4A5591</t>
  </si>
  <si>
    <t>T4N12868</t>
  </si>
  <si>
    <t>T4N13778</t>
  </si>
  <si>
    <t>T4N2634</t>
  </si>
  <si>
    <t>T4N3116</t>
  </si>
  <si>
    <t>TK4850981H</t>
  </si>
  <si>
    <t>TK4950M10E</t>
  </si>
  <si>
    <t>TK4950M50C</t>
  </si>
  <si>
    <t>TNY06915ZC</t>
  </si>
  <si>
    <t>TSY18878Y</t>
  </si>
  <si>
    <t>VPLGP0442</t>
  </si>
  <si>
    <t>VW18000500L00</t>
  </si>
  <si>
    <t>API</t>
  </si>
  <si>
    <t>VWL5F020902</t>
  </si>
  <si>
    <t>ZCV2089L</t>
  </si>
  <si>
    <t>SIGNEDA</t>
  </si>
  <si>
    <t>ZCV2089R</t>
  </si>
  <si>
    <t>1852153</t>
  </si>
  <si>
    <t>21143716092</t>
  </si>
  <si>
    <t>2804121XST01A</t>
  </si>
  <si>
    <t>858783Z000RY</t>
  </si>
  <si>
    <t>858883Z000RY</t>
  </si>
  <si>
    <t>A00062098</t>
  </si>
  <si>
    <t>C2D56224</t>
  </si>
  <si>
    <t>STFDA6093B2</t>
  </si>
  <si>
    <t>5006101XKQ00A</t>
  </si>
  <si>
    <t>5500116XKQ00A8D</t>
  </si>
  <si>
    <t>5500117XKQ00A8D</t>
  </si>
  <si>
    <t>861352L000</t>
  </si>
  <si>
    <t>21214840326140</t>
  </si>
  <si>
    <t>4M0941783C</t>
  </si>
  <si>
    <t>63117408707</t>
  </si>
  <si>
    <t>63117408708</t>
  </si>
  <si>
    <t>638A13620R</t>
  </si>
  <si>
    <t>A2139065209</t>
  </si>
  <si>
    <t>P201MCA1F270103-0100-AE</t>
  </si>
  <si>
    <t>1429719</t>
  </si>
  <si>
    <t>1813880</t>
  </si>
  <si>
    <t>1918857</t>
  </si>
  <si>
    <t>2138701</t>
  </si>
  <si>
    <t>214768980R</t>
  </si>
  <si>
    <t>217042803015790</t>
  </si>
  <si>
    <t>21720280401500</t>
  </si>
  <si>
    <t>2198967</t>
  </si>
  <si>
    <t>2351104LLDE</t>
  </si>
  <si>
    <t>265659650R</t>
  </si>
  <si>
    <t>27055401238</t>
  </si>
  <si>
    <t>27055601422</t>
  </si>
  <si>
    <t>51217396306</t>
  </si>
  <si>
    <t>51317350589</t>
  </si>
  <si>
    <t>51317350610</t>
  </si>
  <si>
    <t>51337247796</t>
  </si>
  <si>
    <t>5E3857537A GRU</t>
  </si>
  <si>
    <t>63217217305</t>
  </si>
  <si>
    <t>641102C010</t>
  </si>
  <si>
    <t>66311D3000</t>
  </si>
  <si>
    <t>71510STXA00ZA</t>
  </si>
  <si>
    <t>808209910R</t>
  </si>
  <si>
    <t>8200848950</t>
  </si>
  <si>
    <t>82120A7000</t>
  </si>
  <si>
    <t>822621008R</t>
  </si>
  <si>
    <t>83250C1000</t>
  </si>
  <si>
    <t>83270C1000</t>
  </si>
  <si>
    <t>861103S120</t>
  </si>
  <si>
    <t>86132C5000</t>
  </si>
  <si>
    <t>865113S500</t>
  </si>
  <si>
    <t>86821L2000</t>
  </si>
  <si>
    <t>92402H0000</t>
  </si>
  <si>
    <t>924043Z300</t>
  </si>
  <si>
    <t>924062P540</t>
  </si>
  <si>
    <t>95B941079AP</t>
  </si>
  <si>
    <t>963032565R</t>
  </si>
  <si>
    <t>AK5379A046</t>
  </si>
  <si>
    <t>AKRADO</t>
  </si>
  <si>
    <t>JH03K2013ER</t>
  </si>
  <si>
    <t>KIAT0191</t>
  </si>
  <si>
    <t>LR113183</t>
  </si>
  <si>
    <t>MN105269XA</t>
  </si>
  <si>
    <t>T4A1269</t>
  </si>
  <si>
    <t>T4N7862</t>
  </si>
  <si>
    <t>Min Цена</t>
  </si>
  <si>
    <t>ТТС Челны УК Склад Центральный склад Челны (осн)</t>
  </si>
  <si>
    <t>УКТТС Казань Склад Центральный склад Казань (осн) Тихорецкая</t>
  </si>
  <si>
    <t>УКТТС Уфа Склад Центральный склад Уфа (осн)</t>
  </si>
  <si>
    <t xml:space="preserve">   Номенклатура</t>
  </si>
  <si>
    <t>Количество</t>
  </si>
  <si>
    <t>Клипса крепления шумоизоляции капота</t>
  </si>
  <si>
    <t>Насадка</t>
  </si>
  <si>
    <t>Накладка порога кузова задняя правая</t>
  </si>
  <si>
    <t>Кронштейн крыла</t>
  </si>
  <si>
    <t>Кронштейн КреплениЯ Бампера</t>
  </si>
  <si>
    <t>Стекло лобовое</t>
  </si>
  <si>
    <t>Решетка переднего бампера</t>
  </si>
  <si>
    <t>Накладка стойки двери передней правой</t>
  </si>
  <si>
    <t>МОЛДИНГ ДВЕРИ</t>
  </si>
  <si>
    <t>Проставка крыло-стойка пер прав</t>
  </si>
  <si>
    <t>Стекло ветровое</t>
  </si>
  <si>
    <t xml:space="preserve">Молдинг передней правой двери нижний </t>
  </si>
  <si>
    <t>Бампер передний, нижняя часть</t>
  </si>
  <si>
    <t>Фонарь противотуманный задний левый</t>
  </si>
  <si>
    <t>УСИЛИТЕЛЬ БАМПЕРА</t>
  </si>
  <si>
    <t>Кронштейн лев.</t>
  </si>
  <si>
    <t>Направляющий профиль</t>
  </si>
  <si>
    <t>Направляющий профиль Задний фонарь D - 23.01.2017&gt;&gt;</t>
  </si>
  <si>
    <t>Молдинг двери задний правый</t>
  </si>
  <si>
    <t>Стекло лобовое Skoda Octavia A7</t>
  </si>
  <si>
    <t>Pешетка радиатора</t>
  </si>
  <si>
    <t xml:space="preserve">Накладка задней левой двери </t>
  </si>
  <si>
    <t>Наружная арка зад. левая</t>
  </si>
  <si>
    <t>Лобовое стекло с обогревом</t>
  </si>
  <si>
    <t>Боковая решетка бампера RH</t>
  </si>
  <si>
    <t>Крышка Форсунки Омывателя ЛЕВАЯ</t>
  </si>
  <si>
    <t>Переднее левое крыло</t>
  </si>
  <si>
    <t>Верхн. кронштейн крепления бампера</t>
  </si>
  <si>
    <t>ЛОКЕР КОЛЕСНОЙ АРКИ</t>
  </si>
  <si>
    <t>НАКЛАДКА ПЛАСТИКОВАЯ КОЛЕСНОЙ АРКИ CX-9'2017/18</t>
  </si>
  <si>
    <t>Усилитель брызговика левый</t>
  </si>
  <si>
    <t>Кронштейн бампера правый</t>
  </si>
  <si>
    <t>Уплотнитель панели воздухозаборника</t>
  </si>
  <si>
    <t>БРЫЗГОВИК ЗАДНИЙ ЛЕВЫЙ T18/T1A/T1D</t>
  </si>
  <si>
    <t>Фиксатор переднего бампера</t>
  </si>
  <si>
    <t>Ручка передней двери внутренняя правая в сборе</t>
  </si>
  <si>
    <t>Стекло зеркала ВАЗ-2123 Н/О правое (корпус ИПРОСС) обогрев круг.м.редуктор ERGON</t>
  </si>
  <si>
    <t xml:space="preserve">ПЕТЛЯ КАПОТА </t>
  </si>
  <si>
    <t>Зажим</t>
  </si>
  <si>
    <t>КАТАФОТ ЗАДНЕГО БАМПЕРА ЛЕВЫЙ</t>
  </si>
  <si>
    <t>ФИКСАТОР СИДЕНЬЯ</t>
  </si>
  <si>
    <t>Петля двери задка л/с</t>
  </si>
  <si>
    <t>УПЛОТНИТЕЛЬ</t>
  </si>
  <si>
    <t>РАМА ЗАДНЕГО ОКНА</t>
  </si>
  <si>
    <t>ПОДУШКА ПЕРЕДНЕГО БАМПЕРА ПРОТИВОСКРИПНАЯ</t>
  </si>
  <si>
    <t>Клипса-заглушка</t>
  </si>
  <si>
    <t>Кронштейн задней спинки сиденья правый</t>
  </si>
  <si>
    <t xml:space="preserve">Заглушка </t>
  </si>
  <si>
    <t>Усилитель заднего лонжерона поперечный правый</t>
  </si>
  <si>
    <t>Планка передней левой двери задняя</t>
  </si>
  <si>
    <t xml:space="preserve">Подкладка </t>
  </si>
  <si>
    <t>Заглушка</t>
  </si>
  <si>
    <t>Кронштейн</t>
  </si>
  <si>
    <t>Облицовка защитная</t>
  </si>
  <si>
    <t>Вставка</t>
  </si>
  <si>
    <t>Кронштейн облицовки радиатора</t>
  </si>
  <si>
    <t>Фартук переднего крыла правый</t>
  </si>
  <si>
    <t>УСИЛИТЕЛЬ ЗАДНЕГО КРЫЛА ЛЕВЫЙ</t>
  </si>
  <si>
    <t>Накладка корпуса наружного зеркала</t>
  </si>
  <si>
    <t>ПОПЕРЕЧИНА ОСНОВАНИЯ ЗАДН</t>
  </si>
  <si>
    <t>Крышка антенны</t>
  </si>
  <si>
    <t>Втулка</t>
  </si>
  <si>
    <t>Накладка</t>
  </si>
  <si>
    <t>Кронштейн левый</t>
  </si>
  <si>
    <t>Кронштейн правый</t>
  </si>
  <si>
    <t>Пластина</t>
  </si>
  <si>
    <t>Амортизатор багажника и капота FEBI</t>
  </si>
  <si>
    <t xml:space="preserve">Указатель поворота на зеркало прав. </t>
  </si>
  <si>
    <t>Повторитель поворота в зеркало левый VOLKSWAGEN GOLF PASSAT SUPERB 388VWL106</t>
  </si>
  <si>
    <t>Лист шумоизоляционный самоклеющийся</t>
  </si>
  <si>
    <t>Кронштейн датчика слева спереди</t>
  </si>
  <si>
    <t>НАКЛАДКА ПЕРЕДНЕЙ ЛЕВОЙ ДВЕРИ ПЛАСТ. T1C</t>
  </si>
  <si>
    <t>Кронштейн газового упора</t>
  </si>
  <si>
    <t>Уплотнитель треуг.накл.зеркала П Наруж</t>
  </si>
  <si>
    <t>Накладка потолка Зд</t>
  </si>
  <si>
    <t>Рейка крепления порога Л Зд</t>
  </si>
  <si>
    <t>Усилитель кронштейна фар лев.</t>
  </si>
  <si>
    <t>Усилитель кронштейна фар прав.</t>
  </si>
  <si>
    <t>Вставка скобы</t>
  </si>
  <si>
    <t>Пистон крепления бампера</t>
  </si>
  <si>
    <t>КЛИПСА УПЛОТНИТЕЛЯ ЛОБОВОГО СТЕКЛА</t>
  </si>
  <si>
    <t>Палец внутренней ручки двери</t>
  </si>
  <si>
    <t>Уплотнитель двери</t>
  </si>
  <si>
    <t>Ремкомплект замка капота</t>
  </si>
  <si>
    <t>Уплотнитель зеркала двери</t>
  </si>
  <si>
    <t>Профиль направляющий</t>
  </si>
  <si>
    <t>Профиль направляющий правый</t>
  </si>
  <si>
    <t>Рычаг регулировки сиденья</t>
  </si>
  <si>
    <t>Насадка декоративная</t>
  </si>
  <si>
    <t>Кронштейн датчика парковки</t>
  </si>
  <si>
    <t>Кронштейн задней панели кузова</t>
  </si>
  <si>
    <t>НАКЛАДКА ПЕРЕДНЕГО БАМПЕРА ЛЕВАЯ T19C</t>
  </si>
  <si>
    <t>НАКЛАДКА ПЕРЕДНЕГО БАМПЕРА ПРАВАЯ T19C</t>
  </si>
  <si>
    <t>ФОРСУНКА ОМЫВАТЕЛЯ ПЕРЕДНЕГО СТЕКЛА M32T/M32TFL</t>
  </si>
  <si>
    <t>УПЛОТНИТЕЛЬ СТЕКЛА</t>
  </si>
  <si>
    <t>УСИЛИТЕЛЬ ПОДРАМНИКА ПЕР (МЕТ)</t>
  </si>
  <si>
    <t>Клипса</t>
  </si>
  <si>
    <t>Кронштейн зажимной</t>
  </si>
  <si>
    <t>Кожух</t>
  </si>
  <si>
    <t>Профиль направляющий заднего бампера левый</t>
  </si>
  <si>
    <t>Профиль направляющий заднего бампера правый</t>
  </si>
  <si>
    <t>Усилитель стойки</t>
  </si>
  <si>
    <t>Накладка зеркала внутренняя левая</t>
  </si>
  <si>
    <t>ФИКСАТОР УПЛОТНИТЕЛЯ ЛОБОВОГО СТЕКЛА (ПЛ</t>
  </si>
  <si>
    <t>Уплотнитель лобового стекла</t>
  </si>
  <si>
    <t>МОЛДИНГ КРЫШИ</t>
  </si>
  <si>
    <t>НАКЛАДКА</t>
  </si>
  <si>
    <t>Крепление молдинга переднего крыла</t>
  </si>
  <si>
    <t>Упор стекла</t>
  </si>
  <si>
    <t>Держатель упора задней двери</t>
  </si>
  <si>
    <t>Гайка М10</t>
  </si>
  <si>
    <t>Заглушка кузова (рез)</t>
  </si>
  <si>
    <t>Материал вспененный</t>
  </si>
  <si>
    <t>Кронштейн задний</t>
  </si>
  <si>
    <t>Накладка стойки двери правая</t>
  </si>
  <si>
    <t>Наклейка пер панель</t>
  </si>
  <si>
    <t>Катафот заднего бампера левый</t>
  </si>
  <si>
    <t>Катафот бампера зад.прав.</t>
  </si>
  <si>
    <t>Кожух ручки двери передней левой</t>
  </si>
  <si>
    <t>Прокладка ручки двери</t>
  </si>
  <si>
    <t>Прокладка накладки ручки двери передней</t>
  </si>
  <si>
    <t xml:space="preserve">Форсунка омывателя лобового стекла левая </t>
  </si>
  <si>
    <t>Уплотнитель молдинга стойки задней двери</t>
  </si>
  <si>
    <t>Накладка ручки двери задней левой</t>
  </si>
  <si>
    <t>Облицовка динамика обивки задней двери левая</t>
  </si>
  <si>
    <t>Облицовка динамика обивки задней двери правая</t>
  </si>
  <si>
    <t>Накладка передней стойки задней двери задняя правая</t>
  </si>
  <si>
    <t>НАКЛАДКА ЗАДНЕЙ СТОЙКИ ЗАДНЕЙ ДВЕРИ ПРАВАЯ</t>
  </si>
  <si>
    <t>Накладка задней стойки задней двери левая</t>
  </si>
  <si>
    <t>Уплотнитель</t>
  </si>
  <si>
    <t>Заглушка ручки наружная правая. Цвет Платина</t>
  </si>
  <si>
    <t>Заглушка ручки наружная левая. Цвет Платина</t>
  </si>
  <si>
    <t>Заглушка цилиндра вык-я замка двери. Цвет Платина</t>
  </si>
  <si>
    <t>КРЫШКА ОМЫВАТЕЛЯ ФАР ЛЕВАЯ Rav4</t>
  </si>
  <si>
    <t>Проставка ветрового стекла</t>
  </si>
  <si>
    <t>Проставка  стекла</t>
  </si>
  <si>
    <t>Кронштейн молдинга стекла прав.</t>
  </si>
  <si>
    <t>Насадка/наконечник</t>
  </si>
  <si>
    <t>Эмблема</t>
  </si>
  <si>
    <t>Кронштейн бампера передний правый</t>
  </si>
  <si>
    <t>Кранштейн подфарный левый на бампере</t>
  </si>
  <si>
    <t>Кронштейн переднего бампера правый</t>
  </si>
  <si>
    <t>Кронштейн крепления переднего бампера</t>
  </si>
  <si>
    <t>Кронштейн рамки радиатора</t>
  </si>
  <si>
    <t>Кронштейн крепления бампера заднего лев.</t>
  </si>
  <si>
    <t>Фиксатор</t>
  </si>
  <si>
    <t>Кронштейн заднего бампера</t>
  </si>
  <si>
    <t>Накладка светоотражателя левая</t>
  </si>
  <si>
    <t>Фиксатор панели бампера</t>
  </si>
  <si>
    <t>Брызговик задний правый</t>
  </si>
  <si>
    <t>Фиксатор заднего стекла</t>
  </si>
  <si>
    <t>Демпфер заднего стекла</t>
  </si>
  <si>
    <t>ПРОКЛАДКА СПОЙЛЕРА КУЗОВА</t>
  </si>
  <si>
    <t>ПРОКЛАДКА ЗАДНЕГО СПОЙЛЕРА КРЫШИ</t>
  </si>
  <si>
    <t>Фиксатор молдинга крыши</t>
  </si>
  <si>
    <t>Уплотнитель молдинга багажной двери</t>
  </si>
  <si>
    <t>Уплотнитель панели багажной двери</t>
  </si>
  <si>
    <t>Прокладка молдинга крышки багажника</t>
  </si>
  <si>
    <t>Пленка защитная двери антигравийная</t>
  </si>
  <si>
    <t>Усилитель правый</t>
  </si>
  <si>
    <t>Накладка, угловая</t>
  </si>
  <si>
    <t>КЛИПСА</t>
  </si>
  <si>
    <t>ПРОВОД</t>
  </si>
  <si>
    <t>Светоотражатель задн. прав.</t>
  </si>
  <si>
    <t>Уплотнитель фонаря</t>
  </si>
  <si>
    <t>Фонарь подсветки</t>
  </si>
  <si>
    <t>Плафон подсветки номера</t>
  </si>
  <si>
    <t>Кольцо уплотнительное</t>
  </si>
  <si>
    <t>Компенент пенапластовый для доводчика двери левый</t>
  </si>
  <si>
    <t>Наклейка информационная</t>
  </si>
  <si>
    <t>УКАЗАТЕЛЬ ПОВОРОТА ПРАВЫЙ</t>
  </si>
  <si>
    <t>Подкрылок передний правый задняя часть Sailing</t>
  </si>
  <si>
    <t>КРОНШТЕЙН БАМПЕРА ПРАВЫЙ</t>
  </si>
  <si>
    <t>ЭМБЛЕМА</t>
  </si>
  <si>
    <t>Клипса HARDWARE-MISCELLANEOUS RIVET</t>
  </si>
  <si>
    <t>ВТУЛКА КРЕПЛЕНИЯ БАМПЕРА</t>
  </si>
  <si>
    <t>КРОНШТЕЙН КРЫЛА</t>
  </si>
  <si>
    <t>КРОНШТЕЙН КРЕПЛЕНИЯ БАМПЕРА ПЕРЕДНЕГО ЛЕВЫЙ</t>
  </si>
  <si>
    <t>КРОНШТЕЙН ЛЕВОЙ ПРОТИВОТУМАННОЙ ФАРЫ</t>
  </si>
  <si>
    <t>РЫЧАГ РЕГУЛИРОВКИ</t>
  </si>
  <si>
    <t>ЗАЩИТНАЯ КРЫШКА</t>
  </si>
  <si>
    <t>Колпачёк ручки двери наружней</t>
  </si>
  <si>
    <t>Фонарь номерного знака (Акция Q597)</t>
  </si>
  <si>
    <t>ВИНТ МЕХ-МА ЗАПИРАНИЯ ЛЮЧКА ТОПЛ.ГОРЛ</t>
  </si>
  <si>
    <t>Пистон капота</t>
  </si>
  <si>
    <t>Рукоятка наклона переднего сиденья (1 шт.)</t>
  </si>
  <si>
    <t>Болт с плоской головкой М5Х8</t>
  </si>
  <si>
    <t>Заклепка скрытая</t>
  </si>
  <si>
    <t>Эмблема UEFA 2019</t>
  </si>
  <si>
    <t>Крышка двери</t>
  </si>
  <si>
    <t>Фара противотуманная левая UkorAuto</t>
  </si>
  <si>
    <t>Фара противотуманная правая UkorAuto</t>
  </si>
  <si>
    <t>Шумоизоляция AURA</t>
  </si>
  <si>
    <t>Штифт приварной</t>
  </si>
  <si>
    <t>Ниша фонаря прав. нижн.</t>
  </si>
  <si>
    <t>ДИСК КОЛЁСНЫЙ ЛИТОЙ M32T</t>
  </si>
  <si>
    <t>Замок задней двери правый</t>
  </si>
  <si>
    <t>Бампер задний без парктроников</t>
  </si>
  <si>
    <t>Панель пола передняя</t>
  </si>
  <si>
    <t>Стекло крыла заднего правого</t>
  </si>
  <si>
    <t>ОБЛИЦОВКА СТОЙКИ ДВЕРИ ПЕРЕДНЕЙ ПРАВАЯ</t>
  </si>
  <si>
    <t>СТЕКЛО ЛЮКА КРЫШИ ЗАДНЕЕ</t>
  </si>
  <si>
    <t>Бампер передний</t>
  </si>
  <si>
    <t>Воздуховод вынес.радиатор левый</t>
  </si>
  <si>
    <t>Облицовка порога грунт. Л</t>
  </si>
  <si>
    <t>Стекло лобовое Москвич 6</t>
  </si>
  <si>
    <t>НАКЛАДКА НА ПЕРЕДН. БАМПЕР, LH</t>
  </si>
  <si>
    <t>ПОПЕРЕЧИНА ПРАВАЯ ВЕРХНЯЯ ВОДОСТОКА</t>
  </si>
  <si>
    <t>Ветровое стекло с окном для VIN</t>
  </si>
  <si>
    <t>Декоративная накладка блестящий хром</t>
  </si>
  <si>
    <t>Фара передняя правая</t>
  </si>
  <si>
    <t>Фара левая Логан ф1</t>
  </si>
  <si>
    <t>Поперечина кузова пер.</t>
  </si>
  <si>
    <t>ОБИВКА ДВЕРИ ПЕРЕДНЕЙ ЛЕВОЙ</t>
  </si>
  <si>
    <t>Накладка стойки двери задней правой</t>
  </si>
  <si>
    <t>Молдинг решетки радиатора</t>
  </si>
  <si>
    <t>Фара светодиодная Л</t>
  </si>
  <si>
    <t xml:space="preserve">Стекло лобовое </t>
  </si>
  <si>
    <t>Кронштейн слева спереди</t>
  </si>
  <si>
    <t>Датчик парковочного радара</t>
  </si>
  <si>
    <t>ЭМБЛЕМА TOYOTA</t>
  </si>
  <si>
    <t>МОЛДИНГ ЗАДНЕГО СТЕКЛА COROLLA NEW 2006-</t>
  </si>
  <si>
    <t>НАКЛАДКА КОЛЕСНОЙ АРКИ ПЕРЕДНЯЯ ПРАВАЯ RAV4</t>
  </si>
  <si>
    <t>КРЫШКА ГОРЛОВИНЫ БЕНЗОБАКА</t>
  </si>
  <si>
    <t>Фонарь зад. лев. внутр.</t>
  </si>
  <si>
    <t>Решетка радиатора</t>
  </si>
  <si>
    <t>Расширитель крыла пер лев (комплект 2шт)</t>
  </si>
  <si>
    <t>Накладка двери зад лев</t>
  </si>
  <si>
    <t>Спойлер переднего бампера</t>
  </si>
  <si>
    <t>Накладка крышки багажника с отверстием</t>
  </si>
  <si>
    <t>Усилитель лонжерона левый в сборе (катафорез)</t>
  </si>
  <si>
    <t>Молдинг лобового стекла</t>
  </si>
  <si>
    <t>ПОДКРЫЛОК</t>
  </si>
  <si>
    <t>Расширитель переднего бампера правый</t>
  </si>
  <si>
    <t>Крыло переднее правое</t>
  </si>
  <si>
    <t>Подкрылок передний правый</t>
  </si>
  <si>
    <t>Подкрылок заднего колеса левый U5</t>
  </si>
  <si>
    <t>Решетка радиатора нижняя</t>
  </si>
  <si>
    <t>РУЧКА ЗАКРЫТИЯ КРЫШКИ БАГАЖНИКА</t>
  </si>
  <si>
    <t>БАМПЕР ПЕРЕДНИЙ С НИЖНИМ СПОРТ-СПОЙЛЕРОМ SPORTAGE IV 2018-</t>
  </si>
  <si>
    <t>ПРИВОД ОЧИСТИТЕЛЯ</t>
  </si>
  <si>
    <t>Ручка двери наружняя</t>
  </si>
  <si>
    <t>Ручка двери наружная задняя прав. с бесключевым запуском</t>
  </si>
  <si>
    <t>Фара в сборе с указателем поворота</t>
  </si>
  <si>
    <t xml:space="preserve">    РЕШЕТКА ПЕРЕДНЕГО БАМПЕРА ЦЕНТРАЛЬНАЯ </t>
  </si>
  <si>
    <t>Дверь передняя лев. CS35</t>
  </si>
  <si>
    <t>СТЕКЛО ЛОБОВОЕ СОЛЯРИС/РИО 10-17 ОБОГРЕВ ЗОНЫ ЩЕТОК</t>
  </si>
  <si>
    <t>ОБЛИЦОВОЧНАЯ ПАНЕЛЬ</t>
  </si>
  <si>
    <t>Фонарь карманный</t>
  </si>
  <si>
    <t>ДЕФЛЕКТОР ЛЮКА КРЫШИ</t>
  </si>
  <si>
    <t>Уплотнитель стекла</t>
  </si>
  <si>
    <t>Фонарь задний правый (на крыле) Ford Focus 3</t>
  </si>
  <si>
    <t>Пaнель задка с поперечиной в сборе (катафорез)</t>
  </si>
  <si>
    <t>Зеркальный элемент левый</t>
  </si>
  <si>
    <t>ЮБКА ЗАДНЕГО БАМПЕРА</t>
  </si>
  <si>
    <t>ЛЮЧОК БЕНЗОБАКА</t>
  </si>
  <si>
    <t>ВНУТРЕННЯЯ ПАНЕЛЬ СТОЙКИ</t>
  </si>
  <si>
    <t>КРЫШКА БУКСИРОВОЧНЙ КРЮК</t>
  </si>
  <si>
    <t>НАКЛАДКА БАМПЕРА ПРАВАЯ</t>
  </si>
  <si>
    <t>Фара противотуманная правая</t>
  </si>
  <si>
    <t>Крышка подлокотника</t>
  </si>
  <si>
    <t>Обивка багажного отсека</t>
  </si>
  <si>
    <t>Экран для среднего глушителя</t>
  </si>
  <si>
    <t>Крыло пер. прав.</t>
  </si>
  <si>
    <t>Крыло переднее левое Granta 1 крашенное цвет ОДИССЕЙ</t>
  </si>
  <si>
    <t>Наклейки на стойки дверей</t>
  </si>
  <si>
    <t>ФАРА DW MATIZ (M150) `99- LH</t>
  </si>
  <si>
    <t>ЛОНЖЕРОН</t>
  </si>
  <si>
    <t>НАКЛАДКА ПОРОГА</t>
  </si>
  <si>
    <t>ОБИВКА СПИНКИ СИДЕНЬЯ КОМПЛЕКТ</t>
  </si>
  <si>
    <t>Стекло ветровое зелено-серое +Д/Дождя+VIN BMW X6 2008- AGС</t>
  </si>
  <si>
    <t>Радиатор охлаждения ДВС</t>
  </si>
  <si>
    <t>Кнопка замка двери</t>
  </si>
  <si>
    <t>КОРПУС ФОНАРЯ ЗАДНЕГО ПРАВОГО НА КРЫШКЕ БАГАЖНИКА</t>
  </si>
  <si>
    <t>ЗАГЛУШКА РЕШЕТКИ РАДИАТОРА НИЖНЯЯ ПРАВАЯ</t>
  </si>
  <si>
    <t>ЗАГЛУШКА РЕШЕТКИ РАДИАТОРА НИЖНЯЯ ЛЕВАЯ</t>
  </si>
  <si>
    <t>Правая накладка переднего бампера</t>
  </si>
  <si>
    <t xml:space="preserve">Пластина опорная переднего бампера правая </t>
  </si>
  <si>
    <t>Резонатор воздушного фильтра</t>
  </si>
  <si>
    <t>Решетка вентиляционная</t>
  </si>
  <si>
    <t>Фара передняя левая</t>
  </si>
  <si>
    <t>Фонарь задний левый наружний</t>
  </si>
  <si>
    <t>Световозвращатель заднего бампера левый</t>
  </si>
  <si>
    <t>Крышка вещевого ящика</t>
  </si>
  <si>
    <t>Накладка декоративная левая</t>
  </si>
  <si>
    <t>Накладка декоративная правая</t>
  </si>
  <si>
    <t>Кронштейн кузова левый</t>
  </si>
  <si>
    <t>Кронштейн кузова правый</t>
  </si>
  <si>
    <t>Направляющая кунга левая</t>
  </si>
  <si>
    <t>Профиль направлящий правый</t>
  </si>
  <si>
    <t>Эмблема "Aventura"</t>
  </si>
  <si>
    <t>Накладка порога правого</t>
  </si>
  <si>
    <t>ЗЕРКАЛО ЗАДНЕГО ВИДА МЕХАНИЧЕСКОЕ ЛЕВОЕ</t>
  </si>
  <si>
    <t>МОЛДИНГ ПОРОГА ПРАВЫЙ</t>
  </si>
  <si>
    <t>Порог правый Volvo XC60</t>
  </si>
  <si>
    <t xml:space="preserve">Фонарь задний левый </t>
  </si>
  <si>
    <t xml:space="preserve">Фонарь задний правый </t>
  </si>
  <si>
    <t>Фонарь подсветки номерного знака</t>
  </si>
  <si>
    <t>Облицовка порога задняя правая</t>
  </si>
  <si>
    <t>Накладка декоративная</t>
  </si>
  <si>
    <t>Кронштейн ультразвук. датчика</t>
  </si>
  <si>
    <t>Короб водоотводящий</t>
  </si>
  <si>
    <t>Накладка передней двери декоративная правая</t>
  </si>
  <si>
    <t>Крыло заднее правое</t>
  </si>
  <si>
    <t>БУ подушек безопасности</t>
  </si>
  <si>
    <t>Надпись SKODA</t>
  </si>
  <si>
    <t>КРОНШТЕЙН ДАТЧИКА СПРАВА СНАРУЖИ</t>
  </si>
  <si>
    <t>Стойка передняя П Внутр</t>
  </si>
  <si>
    <t>Крыло Л Пд</t>
  </si>
  <si>
    <t>Фара противотуманная передняя левая 580</t>
  </si>
  <si>
    <t>Фара противотуманная передняя правая 580</t>
  </si>
  <si>
    <t>Фара передняя правая 580</t>
  </si>
  <si>
    <t>Фара передняя правая в сборе</t>
  </si>
  <si>
    <t>Вставка армирующая обтекателя</t>
  </si>
  <si>
    <t>Петля двери П Вх</t>
  </si>
  <si>
    <t>Зеркало левое (с подогревом, с пов. поворота)  FOCUS '12 ATEK</t>
  </si>
  <si>
    <t>Фонарь задний левый</t>
  </si>
  <si>
    <t>лобовое стекло зеленое синяя полоса место под ДД/ДС</t>
  </si>
  <si>
    <t>Фонарь</t>
  </si>
  <si>
    <t>Крышка плюсовой клеммы аккумулятора</t>
  </si>
  <si>
    <t>Светодиод подсветки номера</t>
  </si>
  <si>
    <t>Усилитель стойки левый</t>
  </si>
  <si>
    <t>Держатель зеркала</t>
  </si>
  <si>
    <t>Солнцезащитная шторка задней двери</t>
  </si>
  <si>
    <t>Молдинг для направляющей стекла верхний спереди справа</t>
  </si>
  <si>
    <t>Облицовка задней панели</t>
  </si>
  <si>
    <t>Кронштейн декоративной накладки</t>
  </si>
  <si>
    <t>Ограничитель открывания двери</t>
  </si>
  <si>
    <t>Молдинг стекла передней левой двери</t>
  </si>
  <si>
    <t>СТЕКЛО ЛОБОВОЕ 4FL с подогревом</t>
  </si>
  <si>
    <t>Кт доп.элементов переднего бампера</t>
  </si>
  <si>
    <t>Решетка воздухозаборника полузакр.П</t>
  </si>
  <si>
    <t>Решетка, воздухозаборник, слева</t>
  </si>
  <si>
    <t>Защитная планка П Бок</t>
  </si>
  <si>
    <t>Декоративная решетка Л Пд</t>
  </si>
  <si>
    <t>Кронштейн PDC внутренний левый</t>
  </si>
  <si>
    <t>Облицовка бампера Performance Пд грунт.</t>
  </si>
  <si>
    <t>Накладка противотуманной фары П</t>
  </si>
  <si>
    <t>Накладка выхлопной трубы П</t>
  </si>
  <si>
    <t>Облицовка заднего бампера,загрунтован</t>
  </si>
  <si>
    <t>Облицовка бампера Зд Нж</t>
  </si>
  <si>
    <t>Комплект передних декоративных планок</t>
  </si>
  <si>
    <t>Решетка передняя</t>
  </si>
  <si>
    <t>Передняя декоративная решетка</t>
  </si>
  <si>
    <t>Решетка передняя декоративная</t>
  </si>
  <si>
    <t>Декоративная планка крышки багажника</t>
  </si>
  <si>
    <t>Стекло зеркала выпуклое П</t>
  </si>
  <si>
    <t>Колпак Е60 Прав грунт.</t>
  </si>
  <si>
    <t>Наружное зеркало с обогревом без стекл.П</t>
  </si>
  <si>
    <t>Наружн.зеркало с обогр.с шиной памяти П</t>
  </si>
  <si>
    <t>Ручка двери краш.</t>
  </si>
  <si>
    <t>Приводной трос Боудена передняя дверь</t>
  </si>
  <si>
    <t>Защитный молдинг шахты зд. пр.</t>
  </si>
  <si>
    <t>Щиток лобового стекла Вх</t>
  </si>
  <si>
    <t>Лобовое стекло grьn</t>
  </si>
  <si>
    <t>Лоб.стекло зеленое датч.дожд/осв./запот</t>
  </si>
  <si>
    <t>Лоб.ст. зелен.датч.инт.дождя/вирт.дисп.</t>
  </si>
  <si>
    <t>Стекло лобовое зеленое датч.дожд/осв./запот</t>
  </si>
  <si>
    <t>Молдинг шахты стекла Наруж двери Л Пд</t>
  </si>
  <si>
    <t>Защитный молдинг шахты П Пд Наруж</t>
  </si>
  <si>
    <t>Решетка Л</t>
  </si>
  <si>
    <t>Защитный молдинг шахты Л Зд Наруж</t>
  </si>
  <si>
    <t>Защитный молдинг шахты П Зд Наруж</t>
  </si>
  <si>
    <t>Наруж. молдинг шахты стекла двери П Зд</t>
  </si>
  <si>
    <t>Неподвижное боковое стекло П Зд</t>
  </si>
  <si>
    <t>Боковое стекло П Зд двери зеленое</t>
  </si>
  <si>
    <t>Держатель ручки Л</t>
  </si>
  <si>
    <t>Накладка двери дер.'Fineline' Л Пд</t>
  </si>
  <si>
    <t>Облицовка двери Л Пд</t>
  </si>
  <si>
    <t>Накладка центральной стойки П Нж</t>
  </si>
  <si>
    <t>Накладка центральной стойки П</t>
  </si>
  <si>
    <t>Накладка центральной стойки Л Alcantara</t>
  </si>
  <si>
    <t>Облицовка стойки Л Ср Вх с ITS</t>
  </si>
  <si>
    <t>Накладка передней стойки Л E71</t>
  </si>
  <si>
    <t>Накладка фонаря стоп-сигнала</t>
  </si>
  <si>
    <t>Молдинг порога Л Зд</t>
  </si>
  <si>
    <t>Защитная планка порога Л Пд</t>
  </si>
  <si>
    <t>Накладка порога Пд</t>
  </si>
  <si>
    <t>Облицовка багажной двери Нж</t>
  </si>
  <si>
    <t>Стойка щита передка слева внизу</t>
  </si>
  <si>
    <t>Дополнительный указатель поворота Л</t>
  </si>
  <si>
    <t>Дополнительный указатель поворота П</t>
  </si>
  <si>
    <t>Решетка радиатора черная Лв.</t>
  </si>
  <si>
    <t>Порог швеллера Л</t>
  </si>
  <si>
    <t>Накладка арки М Зд.Лв.</t>
  </si>
  <si>
    <t>Расширитель арки задний правый</t>
  </si>
  <si>
    <t xml:space="preserve">Стекло ветровое переднее </t>
  </si>
  <si>
    <t>Кронштейн прав.</t>
  </si>
  <si>
    <t>КРЕПЛЕНИЕ ЗАДНЕГО БАМПЕРА</t>
  </si>
  <si>
    <t>КРОНШТЕЙН ЗАДНЕГО БАМПЕРА</t>
  </si>
  <si>
    <t>Накладка бампера заднего</t>
  </si>
  <si>
    <t>СТЕКЛО ЗАДНЕЕ ЛЕВОЕ</t>
  </si>
  <si>
    <t>НАКЛАДКА ПЕРЕДНЕГО БАМПЕРА</t>
  </si>
  <si>
    <t>Заглушка бампера лев</t>
  </si>
  <si>
    <t>Кронштейн бампера зад. внутренний прав.</t>
  </si>
  <si>
    <t>КРОНШТЕЙН БАМПЕРА</t>
  </si>
  <si>
    <t>АМОРТИЗАТОР БАМПЕРА</t>
  </si>
  <si>
    <t>АМОРТИЗАТОР ЗАДНЕГО БАМПЕРА</t>
  </si>
  <si>
    <t>Панель рамки радиатора верхняя 580</t>
  </si>
  <si>
    <t>РЕШЕТКА РАДИАТОРА, RAV 4</t>
  </si>
  <si>
    <t>ЗАЩИТА РАДИАТОРА</t>
  </si>
  <si>
    <t>ПОДКРЫЛОК ЗАДНИЙ ЛЕВЫЙ</t>
  </si>
  <si>
    <t>ПОДКРЫЛОК ЗАДНИЙ ПРАВЫЙ</t>
  </si>
  <si>
    <t>КРОНШТЕЙН</t>
  </si>
  <si>
    <t>ПАНЕЛЬ КУЗОВА БОКОВАЯ ПРАВАЯ</t>
  </si>
  <si>
    <t>Решетка радиатора Tech Plus Haval F7 I</t>
  </si>
  <si>
    <t>КРЫЛО ПЕРЕДНЕЕ ЛЕВОЕ T1DPHEV</t>
  </si>
  <si>
    <t>УПОР КАПОТА ГАЗОВЫЙ СЕ</t>
  </si>
  <si>
    <t>СТЕКЛО ЛОБОВОЕ PRIUS</t>
  </si>
  <si>
    <t>СТЕКЛО ЛОБОВОЕ</t>
  </si>
  <si>
    <t>Лобовое стекло</t>
  </si>
  <si>
    <t xml:space="preserve">СТЕКЛО ЛОБОВОЕ </t>
  </si>
  <si>
    <t>Спойлер задней двери</t>
  </si>
  <si>
    <t>Спойлер верхний крышки багажника</t>
  </si>
  <si>
    <t>НАПРАВЛЯЮЩИЙ ПРОФИЛЬ</t>
  </si>
  <si>
    <t>Направляюшая бампреа зад.лев.</t>
  </si>
  <si>
    <t>Дефлектор чёрный satin/глянц.chromglanz</t>
  </si>
  <si>
    <t>Стекло наружнего зеркала правое</t>
  </si>
  <si>
    <t>Трехточечный ремень безопасности (левый)</t>
  </si>
  <si>
    <t>Панель управления с кнопками</t>
  </si>
  <si>
    <t>Молдинг окна задней правой двери</t>
  </si>
  <si>
    <t>Направляющая переднего бампера левая</t>
  </si>
  <si>
    <t>Крепёжная планка</t>
  </si>
  <si>
    <t>Уплотнитель двери зад.прав.наруж</t>
  </si>
  <si>
    <t xml:space="preserve">Шильдик с надписью </t>
  </si>
  <si>
    <t>Молдинг двери левой задней</t>
  </si>
  <si>
    <t>Молдинг двери задней правой</t>
  </si>
  <si>
    <t>Кожух чёрный satinschwarz</t>
  </si>
  <si>
    <t>Защитный молдинг крыла чёрный satinschwa</t>
  </si>
  <si>
    <t>Светодиодный задний фонарь Крышка багажного отсека</t>
  </si>
  <si>
    <t>Корпус зеркала правый</t>
  </si>
  <si>
    <t>НАКЛАДКА БАГАЖНОЙ ДВЕРИ</t>
  </si>
  <si>
    <t>ПАНЕЛЬ ЗАДНЯЯ</t>
  </si>
  <si>
    <t>Направляющая стекла</t>
  </si>
  <si>
    <t>Ремкомплект сиденья</t>
  </si>
  <si>
    <t>Галоген.противотуманная фара лев.</t>
  </si>
  <si>
    <t>Усилитель бампера передний</t>
  </si>
  <si>
    <t>Уплотнитель двери наружный слева сзади</t>
  </si>
  <si>
    <t>Фонарь задний светодиодный левый</t>
  </si>
  <si>
    <t>Фонарь задний светодиодный правый</t>
  </si>
  <si>
    <t xml:space="preserve">Кронштейн подфонарный левый </t>
  </si>
  <si>
    <t>Усилитель заднего лонжерана левый</t>
  </si>
  <si>
    <t>ФАРА ПРОТИВОТУМАННАЯ</t>
  </si>
  <si>
    <t>Амортизаторы капота Rapid</t>
  </si>
  <si>
    <t>Накладка порога</t>
  </si>
  <si>
    <t>Усилитель панели кузова задний правый</t>
  </si>
  <si>
    <t>Накладка задней двери правая</t>
  </si>
  <si>
    <t>Молдинг двери внутренний</t>
  </si>
  <si>
    <t>Фонарь светодиодный</t>
  </si>
  <si>
    <t>Фонарь задний левый внутренний</t>
  </si>
  <si>
    <t>Фонарь задний правый внутренний</t>
  </si>
  <si>
    <t>Ремень безопасности передний левый</t>
  </si>
  <si>
    <t>Кронштейн радиатора</t>
  </si>
  <si>
    <t>ЗЕРКАЛО ЗАДНЕГО ВИДА ПРАВОЕ prestige model, with camera, BSD, floor lamp СЕ</t>
  </si>
  <si>
    <t>РЕШЕТКА РАДИАТОРА с отверстием для камеры</t>
  </si>
  <si>
    <t>ВЕРХНЯЯ ЧАСТЬ ЗАДНЕГО БАМПЕРА T1D/T1A</t>
  </si>
  <si>
    <t>Кронштейн заднего бампера правый</t>
  </si>
  <si>
    <t>ВСТАВКА ПЕРЕДНЕГО БАМПЕРА НИЖНЯЯ ЛЕВАЯ T1C</t>
  </si>
  <si>
    <t>РЕШЁТКА БАМПЕРА ЗАДНЕГО ЛЕВАЯ T1DPHEV</t>
  </si>
  <si>
    <t>ФОНАРЬ ЗАДНИЙ ЛЕВЫЙ ФИКСИРОВАННЫЙ</t>
  </si>
  <si>
    <t>ФОНАРЬ ЗАДНИЙ ПРАВЫЙ ФИКСИРОВАННЫЙ</t>
  </si>
  <si>
    <t>Накладка заднего правого крыла</t>
  </si>
  <si>
    <t>Накладка заднего левого крыла</t>
  </si>
  <si>
    <t>СТРИП ДВЕРИ ЗАДНЕЙ 5-Й M31T/M32T/M32TFL</t>
  </si>
  <si>
    <t xml:space="preserve">ЛОГОТИП КРЫЛА ПРАВОГО </t>
  </si>
  <si>
    <t>Защитный брус Бампер только для: D - 15.06.2015&gt;&gt;</t>
  </si>
  <si>
    <t>Обивка передней левой двери</t>
  </si>
  <si>
    <t>Обивка передней правой двери</t>
  </si>
  <si>
    <t>Подушка безопасности пассажира</t>
  </si>
  <si>
    <t>Накладка ручки передней левой двери наружняя</t>
  </si>
  <si>
    <t>Корпус наружной ручки радиочастотной двери</t>
  </si>
  <si>
    <t>СТОЙКА КУЗОВА CAMRY</t>
  </si>
  <si>
    <t>Зеркало левое alkar</t>
  </si>
  <si>
    <t>Ручка двери наружная задней левой двери</t>
  </si>
  <si>
    <t xml:space="preserve">Ручка двери наружняя задней правой двери </t>
  </si>
  <si>
    <t>Кронштейн переднего бампера ПР</t>
  </si>
  <si>
    <t>Кронштейн переднего бампера ЛВ</t>
  </si>
  <si>
    <t>Заглушка решетки верхняя</t>
  </si>
  <si>
    <t>Накладка двери задка</t>
  </si>
  <si>
    <t>Петля двери багажника</t>
  </si>
  <si>
    <t xml:space="preserve">Распорка электрическая задней двери </t>
  </si>
  <si>
    <t>Фара левая</t>
  </si>
  <si>
    <t>Фара светодиодная П</t>
  </si>
  <si>
    <t>Светодиодная фара П</t>
  </si>
  <si>
    <t>Светодиодная фара AHL High слева</t>
  </si>
  <si>
    <t>Фара лазерная левая</t>
  </si>
  <si>
    <t>Фара светодиодная  AHL Л</t>
  </si>
  <si>
    <t>Накладка фары</t>
  </si>
  <si>
    <t>Блок задних фонарей на багажной двери П</t>
  </si>
  <si>
    <t>РЕШЕТКА ПЕРЕДНЕГО БАМПЕРА</t>
  </si>
  <si>
    <t>НАСТАВКА ПЕРЕДНЕГО БАМПЕРА</t>
  </si>
  <si>
    <t>ЗАГЛУШКА ПЕРЕДНЕГО БАМПЕРА</t>
  </si>
  <si>
    <t>Рамка радиатора</t>
  </si>
  <si>
    <t>Вентиляционная решетка П</t>
  </si>
  <si>
    <t>ОБШИВКА БАГАЖНИКА</t>
  </si>
  <si>
    <t>ПЕТЛЯ БАГАЖНИКА ПРАВАЯ</t>
  </si>
  <si>
    <t>ПЕТЛЯ БАГАЖНИКА</t>
  </si>
  <si>
    <t>Лонжерон передний лев.</t>
  </si>
  <si>
    <t>Лонжерон кузова</t>
  </si>
  <si>
    <t>ПОДКРЫЛОК ЗАДНИЙ, RH</t>
  </si>
  <si>
    <t>Подкрылок задний левый</t>
  </si>
  <si>
    <t>Поперечина панели пола</t>
  </si>
  <si>
    <t>Решетка вентиляции салона</t>
  </si>
  <si>
    <t>Фонарь задний правый</t>
  </si>
  <si>
    <t>НАБИВКА ПОДУШКИ ПЕРЕДНЕГО ПРАВОГО СИДЕНЬЯ</t>
  </si>
  <si>
    <t>Петля крышки багажника левая</t>
  </si>
  <si>
    <t>Петля крышки багажника правая</t>
  </si>
  <si>
    <t>Крюк буксировочный</t>
  </si>
  <si>
    <t>Привод замка открывания крышки багажника с эмблемой</t>
  </si>
  <si>
    <t>Лонжерон с усилителями и приварными гайками D - 21.11.2016&gt;&gt;</t>
  </si>
  <si>
    <t>Кронштейн крыла левый</t>
  </si>
  <si>
    <t>Пружина</t>
  </si>
  <si>
    <t>Локер колесной арки</t>
  </si>
  <si>
    <t>Усилитель пола правый</t>
  </si>
  <si>
    <t>Панель крыши</t>
  </si>
  <si>
    <t xml:space="preserve">Решетка ПТФ </t>
  </si>
  <si>
    <t>Обивка подушки сидения</t>
  </si>
  <si>
    <t>Подушка спинки сиденья</t>
  </si>
  <si>
    <t>Обивка спинки</t>
  </si>
  <si>
    <t>Стекло лобовое KMK Glass (RR Evoque 11-15 с датчиком дождя)</t>
  </si>
  <si>
    <t>Стойка кузова перед. прав.</t>
  </si>
  <si>
    <t>Панель порога левого</t>
  </si>
  <si>
    <t>Панель правого порога кузова</t>
  </si>
  <si>
    <t>Порог кузова правый</t>
  </si>
  <si>
    <t>Держатель лобового стекла</t>
  </si>
  <si>
    <t>Молдинг крыши лев</t>
  </si>
  <si>
    <t>ОБШИВКА КРЫШИ (СИНТ)</t>
  </si>
  <si>
    <t>МОЛДИНГ БАМПЕРА LH</t>
  </si>
  <si>
    <t>МОЛДИНГ</t>
  </si>
  <si>
    <t>молдинг</t>
  </si>
  <si>
    <t>Усилитель пола кузова зад (мет)</t>
  </si>
  <si>
    <t>МОЛДИНГ ЗАДН. ДВЕРИ, RH</t>
  </si>
  <si>
    <t>МОЛДИНГ ЗАДНЕЙ ДВЕРИ</t>
  </si>
  <si>
    <t>НАКЛЕЙКА ПЕРЕД. ПРАВ. ДВЕРЬ COROLLA 2006-</t>
  </si>
  <si>
    <t>Крыло зад лев</t>
  </si>
  <si>
    <t>Облицовка стойки А слева сверху</t>
  </si>
  <si>
    <t>Усилитель стойки кузова</t>
  </si>
  <si>
    <t>УСИЛИТЕЛЬ КРЫЛА ЗАДН ПРАВ (МЕТ)</t>
  </si>
  <si>
    <t>Уплотнитель боковины правой верхний</t>
  </si>
  <si>
    <t>Уплотнитель боковины левой верхний</t>
  </si>
  <si>
    <t>Накладка декор стойки зад прав (плас)</t>
  </si>
  <si>
    <t>Дверь задняя правая</t>
  </si>
  <si>
    <t>Уплотнитель воздуховода</t>
  </si>
  <si>
    <t>Кронштейн фонаря прав (плас)</t>
  </si>
  <si>
    <t xml:space="preserve">Экран </t>
  </si>
  <si>
    <t>Настил пола</t>
  </si>
  <si>
    <t>Короб вотоотводящий</t>
  </si>
  <si>
    <t>Плафон освещения салона передний</t>
  </si>
  <si>
    <t>Козырек солнцезащитный двойной</t>
  </si>
  <si>
    <t>Накладка подлокотника передней двери правая</t>
  </si>
  <si>
    <t>Накладка для двери с молдингом</t>
  </si>
  <si>
    <t>Ручка двери внутренняя с динамиком</t>
  </si>
  <si>
    <t>Дверь передняя правая</t>
  </si>
  <si>
    <t>Направляющая опускного стекла двери пер</t>
  </si>
  <si>
    <t>Уплотнитель стекла двери пер пр (рез, мет)</t>
  </si>
  <si>
    <t>Уплотнитель стекла двери пер лев</t>
  </si>
  <si>
    <t>Молдинг двери задн прав (плас)</t>
  </si>
  <si>
    <t>Уплотнитель двери пер прав (рез)</t>
  </si>
  <si>
    <t>Уплотнитель шумоизолирующий двери пер лев</t>
  </si>
  <si>
    <t>Молдинг двери комп. Дастер (4шт.)</t>
  </si>
  <si>
    <t>Спойлер заднего бампера</t>
  </si>
  <si>
    <t>Модуль боковой подушки безопасности правый</t>
  </si>
  <si>
    <t>Облицовка заднего бампера справа снизу</t>
  </si>
  <si>
    <t>Шумоизоляция капота</t>
  </si>
  <si>
    <t>ФОНАРЬ ЗАДНИЙ  RH</t>
  </si>
  <si>
    <t>ФОНАРЬ ЗАДНИЙ ПРАВЫЙ НА КРЫШКЕ БАГАЖНИКА Rav4 V</t>
  </si>
  <si>
    <t>ФОНАРЬ ЗАДНИЙ ЛЕВЫЙ</t>
  </si>
  <si>
    <t>Фонарь задний левый на крышке багажника</t>
  </si>
  <si>
    <t>ОБШИВКА СТОЙКИ ПРАВ. (ПЛАС)</t>
  </si>
  <si>
    <t xml:space="preserve">Стекло левого наружного зеркала заднего вида </t>
  </si>
  <si>
    <t xml:space="preserve">Стекло правого наружного зеркала заднего вида </t>
  </si>
  <si>
    <t>Дверь зад прав</t>
  </si>
  <si>
    <t>Облицовка зеркала зад вида прав (пластик)</t>
  </si>
  <si>
    <t>Обшивка двери перед. лев.</t>
  </si>
  <si>
    <t>Молдинг стекла</t>
  </si>
  <si>
    <t>Заглушка омывателя фар</t>
  </si>
  <si>
    <t>Ручка двери лев.</t>
  </si>
  <si>
    <t>Уплотнитель двери задн лев</t>
  </si>
  <si>
    <t>Уплотнитель стекла двери задней правой нижний</t>
  </si>
  <si>
    <t>Молдинг задней правой двери</t>
  </si>
  <si>
    <t>ФОНАРЬ ЗАДНИЙ ЛЕВЫЙ ГАБАРИТНЫЙ В СБОРЕ</t>
  </si>
  <si>
    <t>ФОНАРЬ ЗАДНИЙ ПРАВЫЙ ГАБАРИТНЫЙ В СБОРЕ</t>
  </si>
  <si>
    <t>Стекло задней левой двери</t>
  </si>
  <si>
    <t>Направляющая стекла двери</t>
  </si>
  <si>
    <t>Уплотнитель стекла двери правой задней</t>
  </si>
  <si>
    <t>Ручка двери задн. лев.</t>
  </si>
  <si>
    <t>Основание ручки двери</t>
  </si>
  <si>
    <t xml:space="preserve">Упор капота </t>
  </si>
  <si>
    <t>ПЕТЛЯ КАПОТА ЛЕВАЯ</t>
  </si>
  <si>
    <t>КРЫЛО ПЕРЕДНЕЕ ЛЕВОЕ</t>
  </si>
  <si>
    <t>КРЫЛО ПЕРЕДНЕЕ ПРАВОЕ</t>
  </si>
  <si>
    <t>Упорная планка крыла</t>
  </si>
  <si>
    <t>Планка упорная крыла правого переднего</t>
  </si>
  <si>
    <t>СТЕКЛО ЛОБОВОЕ (ОБОГРЕВ ЩЕТОК/ АНТЕННА/ ДАТЧИК ДОЖДЯ) LEXUS NX200 14-21</t>
  </si>
  <si>
    <t>Автостекло лобовое toyota hi-lux/ fortuner 2016- с</t>
  </si>
  <si>
    <t>Обивка задней двери правая с накладкой в сборе</t>
  </si>
  <si>
    <t>Щиток панели приборов Vesta</t>
  </si>
  <si>
    <t>Зеркало наружное левое в сборе Vesta механическое</t>
  </si>
  <si>
    <t>НАКЛАДКА ЗАДНЕГО БАМПЕРА</t>
  </si>
  <si>
    <t>Кожух баллона CNG</t>
  </si>
  <si>
    <t>Обшивка стенки багажника правая (плас)</t>
  </si>
  <si>
    <t>Кронштейн колеса запасного</t>
  </si>
  <si>
    <t>Настил пола багажника</t>
  </si>
  <si>
    <t>Обшивка задней стойки внутр. прав.</t>
  </si>
  <si>
    <t>Накладка порога внутр. зад. прав.</t>
  </si>
  <si>
    <t>Молдинг лобового стекла optima</t>
  </si>
  <si>
    <t>Молдинг лобового стекла прав.</t>
  </si>
  <si>
    <t>Кронштейн молдинга лоб. стекла лев.</t>
  </si>
  <si>
    <t>Кронштейн молдинга лоб. стекла прав.</t>
  </si>
  <si>
    <t>Эмблема "H"</t>
  </si>
  <si>
    <t>Накладка противотуманной фары левая</t>
  </si>
  <si>
    <t>Накладка противотуманной фары правая</t>
  </si>
  <si>
    <t>Усилитель бампера нижний</t>
  </si>
  <si>
    <t>Решетка бампера</t>
  </si>
  <si>
    <t>Уплотнитель капота</t>
  </si>
  <si>
    <t>Усилитель перед. бампера нижний</t>
  </si>
  <si>
    <t>Кронштейн заднего бампера левый</t>
  </si>
  <si>
    <t>Кронштейн бампера заднего левый</t>
  </si>
  <si>
    <t>Кронштейн заднего бампера лев.</t>
  </si>
  <si>
    <t>Абсорбер заднего бампера</t>
  </si>
  <si>
    <t>Молдинг заднего бампера</t>
  </si>
  <si>
    <t>Усилитель заднего бампера</t>
  </si>
  <si>
    <t>Усилитель бампера</t>
  </si>
  <si>
    <t>Усилитель бампера заднего</t>
  </si>
  <si>
    <t>Кронштейн крепления усилителя левый</t>
  </si>
  <si>
    <t>Пыльник заднего бампера правый</t>
  </si>
  <si>
    <t>Заглушка бампера</t>
  </si>
  <si>
    <t>Подкрылок передний левый</t>
  </si>
  <si>
    <t>Ремень безопасности пер. прав.</t>
  </si>
  <si>
    <t>Молдинг заднего стекла</t>
  </si>
  <si>
    <t>Панель двери багажного отсека</t>
  </si>
  <si>
    <t>Полотно зеркала заднего вида прав.</t>
  </si>
  <si>
    <t>Накладка крыла левого переднего</t>
  </si>
  <si>
    <t>Накладка крыла правого переднего</t>
  </si>
  <si>
    <t>Стекло глухое крыла левого заднего</t>
  </si>
  <si>
    <t>Накладка декоративная зад. правого крыла</t>
  </si>
  <si>
    <t>Накладка двери</t>
  </si>
  <si>
    <t>Усилитель левый</t>
  </si>
  <si>
    <t>Основание зеркала прав.</t>
  </si>
  <si>
    <t>Элемент опорный передней правой двери</t>
  </si>
  <si>
    <t>Решетка воздухозаборника правая</t>
  </si>
  <si>
    <t>Крыло</t>
  </si>
  <si>
    <t>Решетка дефлектора размораживателя ветр. стекла</t>
  </si>
  <si>
    <t>Стоп-сигнал верхний</t>
  </si>
  <si>
    <t>Уплотнитель (самоклей.)</t>
  </si>
  <si>
    <t>Ручка двери, наружная</t>
  </si>
  <si>
    <t>Накладка дверной ручки грунтован.</t>
  </si>
  <si>
    <t>Дверь задка правая</t>
  </si>
  <si>
    <t>НАКЛАДКА ЗЕРКАЛА</t>
  </si>
  <si>
    <t>НАКЛАДКА БАГАЖНИКА ХРОМ</t>
  </si>
  <si>
    <t>НАКЛАДКА РЕШЕТКИ РАДИАТОРА</t>
  </si>
  <si>
    <t>Обивка крыши</t>
  </si>
  <si>
    <t>Фара головного света RH</t>
  </si>
  <si>
    <t>Фара правая</t>
  </si>
  <si>
    <t>Кронштейн правой фары</t>
  </si>
  <si>
    <t>Фара противотуманная левая</t>
  </si>
  <si>
    <t>ПТФ перед. лев.</t>
  </si>
  <si>
    <t>Фара ДХО правая</t>
  </si>
  <si>
    <t>ПТФ прав.</t>
  </si>
  <si>
    <t>Фонарь ДХО левый</t>
  </si>
  <si>
    <t>Фара ПТФ прав.</t>
  </si>
  <si>
    <t>Фонарь зад лев</t>
  </si>
  <si>
    <t>Фонарь левый</t>
  </si>
  <si>
    <t>Фонарь правый наружний</t>
  </si>
  <si>
    <t>Фонарь правый</t>
  </si>
  <si>
    <t>Фонарь правый наружный</t>
  </si>
  <si>
    <t>Фонарь лев. внутр.</t>
  </si>
  <si>
    <t>Фонарь внутренний левый</t>
  </si>
  <si>
    <t>Фонарь задний внутренний левый</t>
  </si>
  <si>
    <t>Фонарь правый внутр.</t>
  </si>
  <si>
    <t>Отражатель заднего бампера левый</t>
  </si>
  <si>
    <t>Накладка бампера светоотражающая левая</t>
  </si>
  <si>
    <t>Отражатель правый</t>
  </si>
  <si>
    <t>Фонарь наружный левый</t>
  </si>
  <si>
    <t>Уплотнитель стекла двери</t>
  </si>
  <si>
    <t>Спойлер передний</t>
  </si>
  <si>
    <t>Панель нижняя заднего бампера (пакет Sport Design)</t>
  </si>
  <si>
    <t>Фара головного света Bi-Xenon, черная правая (=95563117632,=7L5941030BM)</t>
  </si>
  <si>
    <t>Боковая передняя подушка безопасности R</t>
  </si>
  <si>
    <t>Зеркало задн вида прав (электр)</t>
  </si>
  <si>
    <t>Фара пер.LH C.Lacetti седан</t>
  </si>
  <si>
    <t>Накладка на бампер</t>
  </si>
  <si>
    <t>Обивка сиденья L</t>
  </si>
  <si>
    <t xml:space="preserve">Воздуховод интеркулера, правый </t>
  </si>
  <si>
    <t>Наклейка двери пер прав "Stepway"</t>
  </si>
  <si>
    <t>Эмблема переднего крыла "Play"</t>
  </si>
  <si>
    <t>Накладка обивки двери R</t>
  </si>
  <si>
    <t>Крыло переднее левое U5</t>
  </si>
  <si>
    <t xml:space="preserve">СТЕКЛО ВЕТРОВОЕ </t>
  </si>
  <si>
    <t>Пыльник днища правый</t>
  </si>
  <si>
    <t>Накладка порога правая</t>
  </si>
  <si>
    <t>Уплотнитель нижний передней правой двери</t>
  </si>
  <si>
    <t>Подкрылок передний правый задняя часть</t>
  </si>
  <si>
    <t>Расширитель крыла передний правый</t>
  </si>
  <si>
    <t>Бампер задний</t>
  </si>
  <si>
    <t>Молдинг заднего бампера ЛВ</t>
  </si>
  <si>
    <t>Рамка радиатора ДВС</t>
  </si>
  <si>
    <t>Решетка нижняя переднего бампера</t>
  </si>
  <si>
    <t>Молдинг переднего бампера правый</t>
  </si>
  <si>
    <t>Молдинг переднего бампера левый</t>
  </si>
  <si>
    <t>УСИЛИТЕЛЬ ПРАВЫЙ</t>
  </si>
  <si>
    <t>УПЛОТНИТЕЛЬ ДВЕРИ</t>
  </si>
  <si>
    <t xml:space="preserve">АРКА КОЛЕСА ПРАВОЕ </t>
  </si>
  <si>
    <t>Арка колеса задняя левая</t>
  </si>
  <si>
    <t>ФАРА ЛЕВАЯ</t>
  </si>
  <si>
    <t>СТЕКЛО ЗЕРКАЛА ПРАВОЕ С ПОДОГРЕВОМ BODYPARTS</t>
  </si>
  <si>
    <t>ОТРАЖАТЕЛЬ ЗАДНЕГО БАМПЕРА</t>
  </si>
  <si>
    <t>ФОНАРЬ ЗАДНИЙ ПРАВЫЙ MOD</t>
  </si>
  <si>
    <t>ФОНАРЬ ЗАДНИЙ ЛЕВЫЙ MOD</t>
  </si>
  <si>
    <t>ВСТАВКА ПАНЕЛИ ИНСТРУМЕНТОВ ДЕКОРАТИВНАЯ ПЛАСТ. M6'2018/20</t>
  </si>
  <si>
    <t>ЭМБЛЕМА "МАЗДА6" ПЛАСТ. M6'2018/20</t>
  </si>
  <si>
    <t>РЕМКОМПЛЕКТ СКЛАДЫВАНИЯ ЗЕРКАЛА ПРАВОГО М6 GJ</t>
  </si>
  <si>
    <t>КРЫШКА ЗЕРКАЛА</t>
  </si>
  <si>
    <t>ЗАГЛУШКА ЗАДНЕГО БАМПЕРА</t>
  </si>
  <si>
    <t>КРЫШКА БАМПЕРА ПР.</t>
  </si>
  <si>
    <t>ЗАГЛУШКА БУКСИРОВОЧНОГО ТРОССА</t>
  </si>
  <si>
    <t>ЗАГЛУШКА ПЛАСТИКОВАЯ ЗАДНЕГО БАМПЕРА LH</t>
  </si>
  <si>
    <t>ФАРА СВЕТОДИОДНАЯ ЛЕВАЯ М6 2018-</t>
  </si>
  <si>
    <t>Уплотнитель капота переднее ( H087 )</t>
  </si>
  <si>
    <t>Резонатор фильтра</t>
  </si>
  <si>
    <t>ФАРА ГОЛОВНОГО СВЕТА ПРАВАЯ CX-5'2017/20</t>
  </si>
  <si>
    <t>КРЫШКА ПАНЕЛИ ДВЕРИ</t>
  </si>
  <si>
    <t>КОРПУС ЗЕРКАЛА ПРАВЫЙ</t>
  </si>
  <si>
    <t>УСИЛИТЕЛЬ БАМПЕРА CX-5</t>
  </si>
  <si>
    <t>УСИЛИТЕЛЬ ЗАДНЕГО БАМПЕРА</t>
  </si>
  <si>
    <t>Корпус зеркала правый RRE</t>
  </si>
  <si>
    <t>Фонарь освещения номерного знака</t>
  </si>
  <si>
    <t>Ручка двери</t>
  </si>
  <si>
    <t>Крышка багажного отделения Alston</t>
  </si>
  <si>
    <t>ЛОБОВОЕ СТЕКЛО С ОБОГРЕВОМ ЛОБОВОГО СТЕКЛА, БЕЗ ДАТЧИКА ДОЖДЯ-ПЕРЕДН.ОЧИСТИТЕЛЬ</t>
  </si>
  <si>
    <t>ФИКС. СТЕКЛО ЗАДН. ОКНА ДВЕРИ</t>
  </si>
  <si>
    <t>Направляющая ремня LH</t>
  </si>
  <si>
    <t>Накладка порога багажной двери</t>
  </si>
  <si>
    <t>Крыло переднее RH</t>
  </si>
  <si>
    <t>Эмблема Very</t>
  </si>
  <si>
    <t>Молдинг порога лев.</t>
  </si>
  <si>
    <t>Молдинг</t>
  </si>
  <si>
    <t>Ветровое стекло L494</t>
  </si>
  <si>
    <t>Кронштейн отделки левый</t>
  </si>
  <si>
    <t>Задний спойлер REE</t>
  </si>
  <si>
    <t>ПАНЕЛЬ ОТДЕЛКИ ДВЕРИ БАГ.ОТД.</t>
  </si>
  <si>
    <t>Эмблема "HSE"</t>
  </si>
  <si>
    <t xml:space="preserve">Зеркальный элемент правый </t>
  </si>
  <si>
    <t>Уплотнитель задней двери</t>
  </si>
  <si>
    <t>Локер колесной арки LH</t>
  </si>
  <si>
    <t>Накладка бампера</t>
  </si>
  <si>
    <t>Фара</t>
  </si>
  <si>
    <t>Наруж. Пер.  РуЧка Двери LH С бесключевым запуском</t>
  </si>
  <si>
    <t>Наружняя ручка двери RH зад Velar</t>
  </si>
  <si>
    <t>Наруж. Зад.  РуЧка Двери LH С бесключевым запуском</t>
  </si>
  <si>
    <t>НАКЛАДКА ПОРОГА ДВЕРИ</t>
  </si>
  <si>
    <t>ФАРА В СБОРЕ С УКАЗ.ПОВОРОТА</t>
  </si>
  <si>
    <t>Фонарь задний с поворотником</t>
  </si>
  <si>
    <t>НАКЛАДКА ПЕРЕДНЕГО БАМПЕРА НИЖНЯЯ</t>
  </si>
  <si>
    <t>НАКЛАДКА ЗАДНЕГО БАМПЕРА НИЖНЯЯ</t>
  </si>
  <si>
    <t>РАСШИРИТЕЛИ КОЛЕСНЫХ АРОК, К-Т. 4ШТ.</t>
  </si>
  <si>
    <t>Крышка багажника Kia K5 (2020-нв)</t>
  </si>
  <si>
    <t>Уплотнитель передний</t>
  </si>
  <si>
    <t>Уплотнитель внутренний</t>
  </si>
  <si>
    <t>Комплект накладок</t>
  </si>
  <si>
    <t>БЕЙДЖ "BLACK ONYX", HILUX, LC150</t>
  </si>
  <si>
    <t>Уплотнитель зад. правый</t>
  </si>
  <si>
    <t>Фара дхо правая</t>
  </si>
  <si>
    <t xml:space="preserve">ПТФ </t>
  </si>
  <si>
    <t>Крыло переднее левое</t>
  </si>
  <si>
    <t>Панель крыла</t>
  </si>
  <si>
    <t>ЗЕРКАЛО ЗАДН.ВИДА</t>
  </si>
  <si>
    <t>ЗАЩИТНАЯ ЛЕНТА ЗАД.ПРАВ</t>
  </si>
  <si>
    <t>КРОНШТЕЙН ЗАДНЕГО БАМПЕРА ПРАВЫЙ</t>
  </si>
  <si>
    <t xml:space="preserve">Задняя правая дверь </t>
  </si>
  <si>
    <t>Уплотнитель задней двери (правая и левая сторона)</t>
  </si>
  <si>
    <t>МОЛДИНГ ПРАВЫЙ ПЕРЕДНИЙ</t>
  </si>
  <si>
    <t>НАКЛАДКА ДВЕРИ ПЛАСТИКОВАЯ</t>
  </si>
  <si>
    <t>Накладка двери зад. правой</t>
  </si>
  <si>
    <t>РЕМКОМПЛЕКТ СКЛАДЫВАНИЯ ЗЕРКАЛА ПРАВОГО СХ-9 ||</t>
  </si>
  <si>
    <t>ТЯГА ЗАДНЕГО СИДЕНЬЯ МЕТ. CX-9'2021</t>
  </si>
  <si>
    <t>Электропроводка электропорогов с 20 MY</t>
  </si>
  <si>
    <t>Накладка порога левая</t>
  </si>
  <si>
    <t xml:space="preserve">Кронштейн бампера ценральная Sailing                                           </t>
  </si>
  <si>
    <t>ПРОТИВОТУМАНКА ПЕР.ЛЕВ.</t>
  </si>
  <si>
    <t>Противотуманка пер.прав</t>
  </si>
  <si>
    <t>ГНЕЗДО РУЧКИ ДВЕРИ</t>
  </si>
  <si>
    <t>Плата заднего фонаря</t>
  </si>
  <si>
    <t>Кранштейн датчика слепой зоны правый</t>
  </si>
  <si>
    <t>Накладка порога задн. лев.</t>
  </si>
  <si>
    <t>Накладка обшивки порога задн. прав.</t>
  </si>
  <si>
    <t>Зажим крепления держателя капота</t>
  </si>
  <si>
    <t>УСИЛИТЕЛЬ РУЧКИ ПРАВОЙ ДВЕРИ</t>
  </si>
  <si>
    <t>КРЕПЛЕНИЕ РЕШЕТКИ FORD FOCUS III 11- LH</t>
  </si>
  <si>
    <t>НАКЛАДКА СТОЙКИ ДВЕРИ ЗАДНЕЙ ЛЕВОЙ</t>
  </si>
  <si>
    <t>Накладка стойки задней правой двери</t>
  </si>
  <si>
    <t>Брызговик с лонжероном передний левый (катафорез)</t>
  </si>
  <si>
    <t>Фара светодиодная</t>
  </si>
  <si>
    <t>Проставка крыло-стойка пер лев</t>
  </si>
  <si>
    <t>Дверь задняя левая</t>
  </si>
  <si>
    <t>ЗЕРКАЛО ЗАДНЕГО ВИДА ЛЕВОЕ</t>
  </si>
  <si>
    <t>КРЫШКА ПОРОГА</t>
  </si>
  <si>
    <t>СПОЙЛЕР ЗАДНЕГО БАМПЕРА</t>
  </si>
  <si>
    <t>МОЛДИНГ ДВЕРИ ПРАВЫЙ</t>
  </si>
  <si>
    <t>Кронштейн радиатора лев</t>
  </si>
  <si>
    <t>Бампер передний "Кориандр" 790</t>
  </si>
  <si>
    <t>УПЛОТНИТЕЛЬ ДВЕРИ ЗАДНЕЙ ПРАВОЙ</t>
  </si>
  <si>
    <t>ФАРА L</t>
  </si>
  <si>
    <t>Катафот отражатель левый</t>
  </si>
  <si>
    <t xml:space="preserve">Надставка боковины </t>
  </si>
  <si>
    <t>Панель задка</t>
  </si>
  <si>
    <t>Ручка двери наружная правая</t>
  </si>
  <si>
    <t>Крышка, лобовое стекло, верхняя</t>
  </si>
  <si>
    <t>Молдинг лобового стекла правый</t>
  </si>
  <si>
    <t>Корпус зеркала грунтовая</t>
  </si>
  <si>
    <t>Панель фары</t>
  </si>
  <si>
    <t>Крыло пер. лев.</t>
  </si>
  <si>
    <t>Накладка бампера заднего нижняя правая</t>
  </si>
  <si>
    <t>Накладка двери пер. прав.</t>
  </si>
  <si>
    <t>ЩИТОК ЗАДНЕЙ ПРАВОЙ АРКИ КОЛЕСА</t>
  </si>
  <si>
    <t>Стекло двери зад прав (фикс)</t>
  </si>
  <si>
    <t>Молдинг двери</t>
  </si>
  <si>
    <t xml:space="preserve">ВЕТРОВОЕ СТЕКЛО </t>
  </si>
  <si>
    <t>Окантовка молдинга прав</t>
  </si>
  <si>
    <t>Фонарь на крыле задний правый</t>
  </si>
  <si>
    <t>Фонарь задний правый  внутренний</t>
  </si>
  <si>
    <t>Корпус зеркала зад вида прав</t>
  </si>
  <si>
    <t>Пыльник переднего бампера</t>
  </si>
  <si>
    <t>Зеркало заднего вида, правое</t>
  </si>
  <si>
    <t>Лобовое kia soul ii 5d камера движения по полосам</t>
  </si>
  <si>
    <t>НАРУЖНЫЙ МОЛДИНГ ДВЕРИ</t>
  </si>
  <si>
    <t>Панель задней колесной арки</t>
  </si>
  <si>
    <t>Панель крыла задняя правая</t>
  </si>
  <si>
    <t>Нов цена-4%</t>
  </si>
  <si>
    <t>Уценка согл.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</si>
</sst>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charset val="1"/>
    </font>
    <font>
      <b/>
      <sz val="11"/>
      <name val="Calibri"/>
      <charset val="1"/>
    </font>
    <font>
      <sz val="11"/>
      <name val="Calibr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DCFCE5"/>
      </patternFill>
    </fill>
    <fill>
      <patternFill patternType="solid">
        <fgColor rgb="FFD9F2FF"/>
      </patternFill>
    </fill>
    <fill>
      <patternFill patternType="solid">
        <fgColor rgb="FFF3D1D1"/>
      </patternFill>
    </fill>
  </fills>
  <borders count="5">
    <border>
      <left/>
      <right/>
      <top/>
      <bottom/>
      <diagonal/>
    </border>
    <border>
      <left style="hair">
        <color rgb="FFB9B9B9"/>
      </left>
      <right style="hair">
        <color rgb="FFB9B9B9"/>
      </right>
      <top style="hair">
        <color rgb="FFB9B9B9"/>
      </top>
      <bottom style="hair">
        <color rgb="FFB9B9B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rgb="FFB9B9B9"/>
      </left>
      <right/>
      <top style="hair">
        <color rgb="FFB9B9B9"/>
      </top>
      <bottom style="hair">
        <color rgb="FFB9B9B9"/>
      </bottom>
      <diagonal/>
    </border>
    <border>
      <left style="hair">
        <color rgb="FFB9B9B9"/>
      </left>
      <right style="hair">
        <color rgb="FFB9B9B9"/>
      </right>
      <top style="hair">
        <color rgb="FFB9B9B9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49" fontId="0" fillId="0" borderId="0" xfId="0" applyNumberFormat="1" applyFont="1" applyFill="1" applyBorder="1" applyAlignment="1" applyProtection="1">
      <alignment horizontal="left"/>
    </xf>
    <xf numFmtId="49" fontId="0" fillId="0" borderId="0" xfId="0" applyNumberFormat="1" applyFont="1" applyFill="1" applyBorder="1" applyAlignment="1" applyProtection="1"/>
    <xf numFmtId="0" fontId="0" fillId="0" borderId="0" xfId="0" applyNumberFormat="1" applyFont="1" applyFill="1" applyBorder="1" applyAlignment="1" applyProtection="1">
      <alignment horizontal="right"/>
    </xf>
    <xf numFmtId="1" fontId="1" fillId="2" borderId="1" xfId="0" applyNumberFormat="1" applyFont="1" applyFill="1" applyBorder="1" applyAlignment="1" applyProtection="1">
      <alignment horizontal="left"/>
    </xf>
    <xf numFmtId="1" fontId="0" fillId="0" borderId="0" xfId="0" applyNumberFormat="1" applyFont="1" applyFill="1" applyBorder="1" applyAlignment="1" applyProtection="1">
      <alignment horizontal="left"/>
    </xf>
    <xf numFmtId="1" fontId="0" fillId="0" borderId="0" xfId="0" applyNumberFormat="1"/>
    <xf numFmtId="1" fontId="0" fillId="2" borderId="3" xfId="0" applyNumberFormat="1" applyFont="1" applyFill="1" applyBorder="1" applyAlignment="1" applyProtection="1">
      <alignment horizontal="left"/>
    </xf>
    <xf numFmtId="1" fontId="0" fillId="3" borderId="3" xfId="0" applyNumberFormat="1" applyFont="1" applyFill="1" applyBorder="1" applyAlignment="1" applyProtection="1">
      <alignment horizontal="left"/>
    </xf>
    <xf numFmtId="49" fontId="1" fillId="2" borderId="4" xfId="0" applyNumberFormat="1" applyFont="1" applyFill="1" applyBorder="1" applyAlignment="1" applyProtection="1">
      <alignment horizontal="left"/>
    </xf>
    <xf numFmtId="49" fontId="1" fillId="2" borderId="4" xfId="0" applyNumberFormat="1" applyFont="1" applyFill="1" applyBorder="1" applyAlignment="1" applyProtection="1"/>
    <xf numFmtId="0" fontId="1" fillId="2" borderId="4" xfId="0" applyNumberFormat="1" applyFont="1" applyFill="1" applyBorder="1" applyAlignment="1" applyProtection="1"/>
    <xf numFmtId="0" fontId="1" fillId="2" borderId="4" xfId="0" applyNumberFormat="1" applyFont="1" applyFill="1" applyBorder="1" applyAlignment="1" applyProtection="1">
      <alignment horizontal="right"/>
    </xf>
    <xf numFmtId="49" fontId="0" fillId="2" borderId="2" xfId="0" applyNumberFormat="1" applyFont="1" applyFill="1" applyBorder="1" applyAlignment="1" applyProtection="1">
      <alignment horizontal="left"/>
    </xf>
    <xf numFmtId="49" fontId="0" fillId="2" borderId="2" xfId="0" applyNumberFormat="1" applyFont="1" applyFill="1" applyBorder="1" applyAlignment="1" applyProtection="1"/>
    <xf numFmtId="0" fontId="0" fillId="4" borderId="2" xfId="0" applyNumberFormat="1" applyFont="1" applyFill="1" applyBorder="1" applyAlignment="1" applyProtection="1"/>
    <xf numFmtId="0" fontId="0" fillId="2" borderId="2" xfId="0" applyNumberFormat="1" applyFont="1" applyFill="1" applyBorder="1" applyAlignment="1" applyProtection="1"/>
    <xf numFmtId="0" fontId="0" fillId="2" borderId="2" xfId="0" applyNumberFormat="1" applyFont="1" applyFill="1" applyBorder="1" applyAlignment="1" applyProtection="1">
      <alignment horizontal="right"/>
    </xf>
    <xf numFmtId="0" fontId="0" fillId="0" borderId="2" xfId="0" applyBorder="1"/>
    <xf numFmtId="1" fontId="0" fillId="0" borderId="2" xfId="0" applyNumberFormat="1" applyBorder="1"/>
    <xf numFmtId="0" fontId="0" fillId="0" borderId="2" xfId="0" applyNumberFormat="1" applyFont="1" applyBorder="1" applyAlignment="1">
      <alignment vertical="top" wrapText="1"/>
    </xf>
    <xf numFmtId="49" fontId="0" fillId="3" borderId="2" xfId="0" applyNumberFormat="1" applyFont="1" applyFill="1" applyBorder="1" applyAlignment="1" applyProtection="1">
      <alignment horizontal="left"/>
    </xf>
    <xf numFmtId="49" fontId="0" fillId="3" borderId="2" xfId="0" applyNumberFormat="1" applyFont="1" applyFill="1" applyBorder="1" applyAlignment="1" applyProtection="1"/>
    <xf numFmtId="0" fontId="0" fillId="3" borderId="2" xfId="0" applyNumberFormat="1" applyFont="1" applyFill="1" applyBorder="1" applyAlignment="1" applyProtection="1"/>
    <xf numFmtId="0" fontId="0" fillId="3" borderId="2" xfId="0" applyNumberFormat="1" applyFont="1" applyFill="1" applyBorder="1" applyAlignment="1" applyProtection="1">
      <alignment horizontal="right"/>
    </xf>
    <xf numFmtId="0" fontId="0" fillId="0" borderId="2" xfId="0" applyNumberFormat="1" applyFont="1" applyFill="1" applyBorder="1" applyAlignment="1" applyProtection="1">
      <alignment horizontal="right"/>
    </xf>
    <xf numFmtId="0" fontId="0" fillId="0" borderId="2" xfId="0" applyNumberFormat="1" applyFont="1" applyBorder="1" applyAlignment="1">
      <alignment vertical="top"/>
    </xf>
    <xf numFmtId="0" fontId="1" fillId="2" borderId="0" xfId="0" applyNumberFormat="1" applyFont="1" applyFill="1" applyBorder="1" applyAlignment="1" applyProtection="1"/>
    <xf numFmtId="1" fontId="1" fillId="2" borderId="0" xfId="0" applyNumberFormat="1" applyFont="1" applyFill="1" applyBorder="1" applyAlignment="1" applyProtection="1"/>
    <xf numFmtId="1" fontId="0" fillId="0" borderId="0" xfId="0" applyNumberFormat="1" applyBorder="1"/>
    <xf numFmtId="1" fontId="2" fillId="3" borderId="3" xfId="0" applyNumberFormat="1" applyFont="1" applyFill="1" applyBorder="1" applyAlignment="1" applyProtection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ntonov.i/Desktop/&#1054;&#1090;&#1095;&#1105;&#1090;&#1099;%20&#1059;&#1050;&#1056;/&#1055;&#1088;&#1086;&#1094;&#1077;&#1085;&#1082;&#1072;/&#1055;&#1088;&#1086;&#1076;&#1072;&#1078;&#1072;%20&#1085;&#1077;&#1083;&#1080;&#1082;&#1074;&#1080;&#1076;&#1072;/&#1054;&#1089;&#1090;&#1072;&#1090;&#1082;&#1080;%20&#1086;&#1090;%2007.04.2026/&#1050;&#1086;&#1087;&#1080;&#1103;%20&#1055;&#1088;&#1072;&#1081;&#1089;%20&#1076;&#1083;&#1103;%20&#1048;&#1052;%20&#1086;&#1090;%2009.04.2026%20&#1044;&#1083;&#1103;%20&#1087;&#1088;&#1086;&#1094;&#1077;&#1085;&#1082;&#1080;%20&#1040;&#1085;&#1090;&#1086;&#1085;&#1086;&#1074;%20&#1048;&#1083;&#1100;&#110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Лист2"/>
    </sheetNames>
    <sheetDataSet>
      <sheetData sheetId="0" refreshError="1"/>
      <sheetData sheetId="1">
        <row r="1">
          <cell r="A1" t="str">
            <v>Артикул</v>
          </cell>
          <cell r="B1" t="str">
            <v xml:space="preserve">   Номенклатура</v>
          </cell>
          <cell r="C1" t="str">
            <v>Бренд</v>
          </cell>
          <cell r="D1" t="str">
            <v>количество, шт</v>
          </cell>
          <cell r="E1" t="str">
            <v>Новая Цена ИМ, руб</v>
          </cell>
          <cell r="G1" t="str">
            <v>Поставщик</v>
          </cell>
          <cell r="H1" t="str">
            <v>себестоимость</v>
          </cell>
          <cell r="I1" t="str">
            <v>Min Цена, рынка</v>
          </cell>
          <cell r="J1" t="str">
            <v>Цена В СЗ от ВВС</v>
          </cell>
        </row>
        <row r="2">
          <cell r="A2" t="str">
            <v>4M0941784C</v>
          </cell>
          <cell r="B2" t="str">
            <v>Фара светодиодная</v>
          </cell>
          <cell r="C2" t="str">
            <v>VAG</v>
          </cell>
          <cell r="D2">
            <v>1</v>
          </cell>
          <cell r="E2">
            <v>343658.62</v>
          </cell>
          <cell r="G2" t="str">
            <v>автолига.рф</v>
          </cell>
          <cell r="H2">
            <v>381900</v>
          </cell>
          <cell r="I2">
            <v>348892</v>
          </cell>
          <cell r="J2">
            <v>343658.62</v>
          </cell>
        </row>
        <row r="3">
          <cell r="A3" t="str">
            <v>4M0941783C</v>
          </cell>
          <cell r="B3" t="str">
            <v>Фара светодиодная</v>
          </cell>
          <cell r="C3" t="str">
            <v>VAG</v>
          </cell>
          <cell r="D3">
            <v>1</v>
          </cell>
          <cell r="E3">
            <v>320000</v>
          </cell>
          <cell r="G3" t="str">
            <v>автолига.рф</v>
          </cell>
          <cell r="H3">
            <v>351750</v>
          </cell>
          <cell r="I3">
            <v>264908</v>
          </cell>
          <cell r="J3">
            <v>260934.38</v>
          </cell>
        </row>
        <row r="4">
          <cell r="A4" t="str">
            <v>63118496163</v>
          </cell>
          <cell r="B4" t="str">
            <v>Фара лазерная левая</v>
          </cell>
          <cell r="C4" t="str">
            <v>BMW</v>
          </cell>
          <cell r="D4">
            <v>1</v>
          </cell>
          <cell r="E4">
            <v>375988.29</v>
          </cell>
          <cell r="G4" t="str">
            <v>tatparts.ru</v>
          </cell>
          <cell r="H4">
            <v>350221</v>
          </cell>
          <cell r="I4">
            <v>128234</v>
          </cell>
          <cell r="J4">
            <v>126310.49</v>
          </cell>
        </row>
        <row r="5">
          <cell r="A5" t="str">
            <v>LR181377</v>
          </cell>
          <cell r="B5" t="str">
            <v>ФАРА В СБОРЕ С УКАЗ.ПОВОРОТА</v>
          </cell>
          <cell r="C5" t="str">
            <v>LANDROVER</v>
          </cell>
          <cell r="D5">
            <v>2</v>
          </cell>
          <cell r="E5">
            <v>272139</v>
          </cell>
          <cell r="G5" t="str">
            <v>tatparts.ru</v>
          </cell>
          <cell r="H5">
            <v>299715</v>
          </cell>
          <cell r="I5">
            <v>275987</v>
          </cell>
          <cell r="J5">
            <v>271847.19500000001</v>
          </cell>
        </row>
        <row r="6">
          <cell r="A6" t="str">
            <v>63117214951</v>
          </cell>
          <cell r="B6" t="str">
            <v>Фара светодиодная Л</v>
          </cell>
          <cell r="C6" t="str">
            <v>BMW</v>
          </cell>
          <cell r="D6">
            <v>1</v>
          </cell>
          <cell r="E6">
            <v>198742.465</v>
          </cell>
          <cell r="G6" t="str">
            <v>tatparts.ru</v>
          </cell>
          <cell r="H6">
            <v>261442</v>
          </cell>
          <cell r="I6">
            <v>177956</v>
          </cell>
          <cell r="J6">
            <v>175286.66</v>
          </cell>
        </row>
        <row r="7">
          <cell r="A7" t="str">
            <v>63119851041</v>
          </cell>
          <cell r="B7" t="str">
            <v>Фара лазерная левая</v>
          </cell>
          <cell r="C7" t="str">
            <v>BMW</v>
          </cell>
          <cell r="D7">
            <v>1</v>
          </cell>
          <cell r="E7">
            <v>250760.315</v>
          </cell>
          <cell r="G7" t="str">
            <v>автолига.рф</v>
          </cell>
          <cell r="H7">
            <v>256626</v>
          </cell>
          <cell r="I7">
            <v>254579</v>
          </cell>
          <cell r="J7">
            <v>250760.315</v>
          </cell>
        </row>
        <row r="8">
          <cell r="A8" t="str">
            <v>63119479261</v>
          </cell>
          <cell r="B8" t="str">
            <v>Фара светодиодная  AHL Л</v>
          </cell>
          <cell r="C8" t="str">
            <v>BMW</v>
          </cell>
          <cell r="D8">
            <v>1</v>
          </cell>
          <cell r="E8">
            <v>236335.97500000001</v>
          </cell>
          <cell r="G8" t="str">
            <v>tatparts.ru</v>
          </cell>
          <cell r="H8">
            <v>225105</v>
          </cell>
          <cell r="I8">
            <v>61063</v>
          </cell>
          <cell r="J8">
            <v>60147.055</v>
          </cell>
        </row>
        <row r="9">
          <cell r="A9" t="str">
            <v>86111D2030</v>
          </cell>
          <cell r="B9" t="str">
            <v>Стекло лобовое</v>
          </cell>
          <cell r="C9" t="str">
            <v>HYUNDAI/KIA</v>
          </cell>
          <cell r="D9">
            <v>1</v>
          </cell>
          <cell r="E9">
            <v>137588</v>
          </cell>
          <cell r="G9" t="str">
            <v>автолига.рф</v>
          </cell>
          <cell r="H9">
            <v>221065</v>
          </cell>
          <cell r="I9">
            <v>121137</v>
          </cell>
          <cell r="J9">
            <v>119319.94499999999</v>
          </cell>
        </row>
        <row r="10">
          <cell r="A10" t="str">
            <v>LR159605</v>
          </cell>
          <cell r="B10" t="str">
            <v>Фара правая</v>
          </cell>
          <cell r="C10" t="str">
            <v>LANDROVER</v>
          </cell>
          <cell r="D10">
            <v>1</v>
          </cell>
          <cell r="E10">
            <v>167097</v>
          </cell>
          <cell r="G10" t="str">
            <v>tatparts.ru</v>
          </cell>
          <cell r="H10">
            <v>167097</v>
          </cell>
          <cell r="I10">
            <v>74035</v>
          </cell>
          <cell r="J10">
            <v>72924.475000000006</v>
          </cell>
        </row>
        <row r="11">
          <cell r="A11" t="str">
            <v>86111C5AL0</v>
          </cell>
          <cell r="B11" t="str">
            <v>Стекло ветровое</v>
          </cell>
          <cell r="C11" t="str">
            <v>HYUNDAI/KIA</v>
          </cell>
          <cell r="D11">
            <v>3</v>
          </cell>
          <cell r="E11">
            <v>104056.38499999999</v>
          </cell>
          <cell r="G11" t="str">
            <v>автолига.рф</v>
          </cell>
          <cell r="H11">
            <v>130000</v>
          </cell>
          <cell r="I11">
            <v>105165</v>
          </cell>
          <cell r="J11">
            <v>103587.52499999999</v>
          </cell>
        </row>
        <row r="12">
          <cell r="A12" t="str">
            <v>51317440773</v>
          </cell>
          <cell r="B12" t="str">
            <v>Стекло лобовое зеленое датч.дожд/осв./запот</v>
          </cell>
          <cell r="C12" t="str">
            <v>BMW</v>
          </cell>
          <cell r="D12">
            <v>1</v>
          </cell>
          <cell r="E12">
            <v>69870.975000000006</v>
          </cell>
          <cell r="G12" t="str">
            <v>автолига.рф</v>
          </cell>
          <cell r="H12">
            <v>118204</v>
          </cell>
          <cell r="I12">
            <v>67354</v>
          </cell>
          <cell r="J12">
            <v>66343.69</v>
          </cell>
        </row>
        <row r="13">
          <cell r="A13" t="str">
            <v>51317440773</v>
          </cell>
          <cell r="B13" t="str">
            <v>Стекло лобовое зеленое датч.дожд/осв./запот</v>
          </cell>
          <cell r="C13" t="str">
            <v>BMW</v>
          </cell>
          <cell r="D13">
            <v>14</v>
          </cell>
          <cell r="E13">
            <v>69870.975000000006</v>
          </cell>
          <cell r="G13" t="str">
            <v>автолига.рф</v>
          </cell>
          <cell r="H13">
            <v>118204</v>
          </cell>
          <cell r="I13">
            <v>67354</v>
          </cell>
          <cell r="J13">
            <v>66343.69</v>
          </cell>
        </row>
        <row r="14">
          <cell r="A14" t="str">
            <v>51317440773</v>
          </cell>
          <cell r="B14" t="str">
            <v>Стекло лобовое зеленое датч.дожд/осв./запот</v>
          </cell>
          <cell r="C14" t="str">
            <v>BMW</v>
          </cell>
          <cell r="D14">
            <v>1</v>
          </cell>
          <cell r="E14">
            <v>69870.975000000006</v>
          </cell>
          <cell r="G14" t="str">
            <v>автолига.рф</v>
          </cell>
          <cell r="H14">
            <v>87200</v>
          </cell>
          <cell r="I14">
            <v>67354</v>
          </cell>
          <cell r="J14">
            <v>66343.69</v>
          </cell>
        </row>
        <row r="15">
          <cell r="A15" t="str">
            <v>51317440773</v>
          </cell>
          <cell r="B15" t="str">
            <v>Стекло лобовое зеленое датч.дожд/осв./запот</v>
          </cell>
          <cell r="C15" t="str">
            <v>BMW</v>
          </cell>
          <cell r="D15">
            <v>3</v>
          </cell>
          <cell r="E15">
            <v>69870.975000000006</v>
          </cell>
          <cell r="G15" t="str">
            <v>автолига.рф</v>
          </cell>
          <cell r="H15">
            <v>70684</v>
          </cell>
          <cell r="I15">
            <v>67354</v>
          </cell>
          <cell r="J15">
            <v>66343.69</v>
          </cell>
        </row>
        <row r="16">
          <cell r="A16" t="str">
            <v>51317440773</v>
          </cell>
          <cell r="B16" t="str">
            <v>Стекло лобовое зеленое датч.дожд/осв./запот</v>
          </cell>
          <cell r="C16" t="str">
            <v>BMW</v>
          </cell>
          <cell r="D16">
            <v>1</v>
          </cell>
          <cell r="E16">
            <v>69870.975000000006</v>
          </cell>
          <cell r="G16" t="str">
            <v>автолига.рф</v>
          </cell>
          <cell r="H16">
            <v>130971</v>
          </cell>
          <cell r="I16">
            <v>67354</v>
          </cell>
          <cell r="J16">
            <v>66343.69</v>
          </cell>
        </row>
        <row r="17">
          <cell r="A17" t="str">
            <v>51317440773</v>
          </cell>
          <cell r="B17" t="str">
            <v>Стекло лобовое зеленое датч.дожд/осв./запот</v>
          </cell>
          <cell r="C17" t="str">
            <v>BMW</v>
          </cell>
          <cell r="D17">
            <v>1</v>
          </cell>
          <cell r="E17">
            <v>69870.975000000006</v>
          </cell>
          <cell r="G17" t="str">
            <v>автолига.рф</v>
          </cell>
          <cell r="H17">
            <v>72405</v>
          </cell>
          <cell r="I17">
            <v>67354</v>
          </cell>
          <cell r="J17">
            <v>66343.69</v>
          </cell>
        </row>
        <row r="18">
          <cell r="A18" t="str">
            <v>51317440765</v>
          </cell>
          <cell r="B18" t="str">
            <v>Лоб.ст. зелен.датч.инт.дождя/вирт.дисп.</v>
          </cell>
          <cell r="C18" t="str">
            <v>BMW</v>
          </cell>
          <cell r="D18">
            <v>3</v>
          </cell>
          <cell r="E18">
            <v>70499.404999999999</v>
          </cell>
          <cell r="G18" t="str">
            <v>автолига.рф</v>
          </cell>
          <cell r="H18">
            <v>115247</v>
          </cell>
          <cell r="I18">
            <v>67788</v>
          </cell>
          <cell r="J18">
            <v>66771.179999999993</v>
          </cell>
        </row>
        <row r="19">
          <cell r="A19" t="str">
            <v>51317440765</v>
          </cell>
          <cell r="B19" t="str">
            <v>Лоб.ст. зелен.датч.инт.дождя/вирт.дисп.</v>
          </cell>
          <cell r="C19" t="str">
            <v>BMW</v>
          </cell>
          <cell r="D19">
            <v>1</v>
          </cell>
          <cell r="E19">
            <v>70499.404999999999</v>
          </cell>
          <cell r="G19" t="str">
            <v>автолига.рф</v>
          </cell>
          <cell r="H19">
            <v>115247</v>
          </cell>
          <cell r="I19">
            <v>67788</v>
          </cell>
          <cell r="J19">
            <v>66771.179999999993</v>
          </cell>
        </row>
        <row r="20">
          <cell r="A20" t="str">
            <v>51317440765</v>
          </cell>
          <cell r="B20" t="str">
            <v>Лоб.ст. зелен.датч.инт.дождя/вирт.дисп.</v>
          </cell>
          <cell r="C20" t="str">
            <v>BMW</v>
          </cell>
          <cell r="D20">
            <v>2</v>
          </cell>
          <cell r="E20">
            <v>70499.404999999999</v>
          </cell>
          <cell r="G20" t="str">
            <v>tatparts.ru</v>
          </cell>
          <cell r="H20">
            <v>115247</v>
          </cell>
          <cell r="I20">
            <v>71291</v>
          </cell>
          <cell r="J20">
            <v>70221.634999999995</v>
          </cell>
        </row>
        <row r="21">
          <cell r="A21" t="str">
            <v>51317440765</v>
          </cell>
          <cell r="B21" t="str">
            <v>Лоб.ст. зелен.датч.инт.дождя/вирт.дисп.</v>
          </cell>
          <cell r="C21" t="str">
            <v>BMW</v>
          </cell>
          <cell r="D21">
            <v>3</v>
          </cell>
          <cell r="E21">
            <v>70499.404999999999</v>
          </cell>
          <cell r="G21" t="str">
            <v>автолига.рф</v>
          </cell>
          <cell r="H21">
            <v>115247</v>
          </cell>
          <cell r="I21">
            <v>67788</v>
          </cell>
          <cell r="J21">
            <v>66771.179999999993</v>
          </cell>
        </row>
        <row r="22">
          <cell r="A22" t="str">
            <v>51317440765</v>
          </cell>
          <cell r="B22" t="str">
            <v>Лоб.ст. зелен.датч.инт.дождя/вирт.дисп.</v>
          </cell>
          <cell r="C22" t="str">
            <v>BMW</v>
          </cell>
          <cell r="D22">
            <v>1</v>
          </cell>
          <cell r="E22">
            <v>70499.404999999999</v>
          </cell>
          <cell r="G22" t="str">
            <v>автолига.рф</v>
          </cell>
          <cell r="H22">
            <v>115247</v>
          </cell>
          <cell r="I22">
            <v>67788</v>
          </cell>
          <cell r="J22">
            <v>66771.179999999993</v>
          </cell>
        </row>
        <row r="23">
          <cell r="A23" t="str">
            <v>51317440765</v>
          </cell>
          <cell r="B23" t="str">
            <v>Лоб.ст. зелен.датч.инт.дождя/вирт.дисп.</v>
          </cell>
          <cell r="C23" t="str">
            <v>BMW</v>
          </cell>
          <cell r="D23">
            <v>1</v>
          </cell>
          <cell r="E23">
            <v>70499.404999999999</v>
          </cell>
          <cell r="G23" t="str">
            <v>автолига.рф</v>
          </cell>
          <cell r="H23">
            <v>86734</v>
          </cell>
          <cell r="I23">
            <v>67788</v>
          </cell>
          <cell r="J23">
            <v>66771.179999999993</v>
          </cell>
        </row>
        <row r="24">
          <cell r="A24" t="str">
            <v>51317440765</v>
          </cell>
          <cell r="B24" t="str">
            <v>Лоб.ст. зелен.датч.инт.дождя/вирт.дисп.</v>
          </cell>
          <cell r="C24" t="str">
            <v>BMW</v>
          </cell>
          <cell r="D24">
            <v>2</v>
          </cell>
          <cell r="E24">
            <v>70499.404999999999</v>
          </cell>
          <cell r="G24" t="str">
            <v>автолига.рф</v>
          </cell>
          <cell r="H24">
            <v>80054</v>
          </cell>
          <cell r="I24">
            <v>67788</v>
          </cell>
          <cell r="J24">
            <v>66771.179999999993</v>
          </cell>
        </row>
        <row r="25">
          <cell r="A25" t="str">
            <v>51317440765</v>
          </cell>
          <cell r="B25" t="str">
            <v>Лоб.ст. зелен.датч.инт.дождя/вирт.дисп.</v>
          </cell>
          <cell r="C25" t="str">
            <v>BMW</v>
          </cell>
          <cell r="D25">
            <v>4</v>
          </cell>
          <cell r="E25">
            <v>70499.404999999999</v>
          </cell>
          <cell r="G25" t="str">
            <v>автолига.рф</v>
          </cell>
          <cell r="H25">
            <v>81391</v>
          </cell>
          <cell r="I25">
            <v>67788</v>
          </cell>
          <cell r="J25">
            <v>66771.179999999993</v>
          </cell>
        </row>
        <row r="26">
          <cell r="A26" t="str">
            <v>51317440765</v>
          </cell>
          <cell r="B26" t="str">
            <v>Лоб.ст. зелен.датч.инт.дождя/вирт.дисп.</v>
          </cell>
          <cell r="C26" t="str">
            <v>BMW</v>
          </cell>
          <cell r="D26">
            <v>1</v>
          </cell>
          <cell r="E26">
            <v>70499.404999999999</v>
          </cell>
          <cell r="G26" t="str">
            <v>автолига.рф</v>
          </cell>
          <cell r="H26">
            <v>81391</v>
          </cell>
          <cell r="I26">
            <v>67788</v>
          </cell>
          <cell r="J26">
            <v>66771.179999999993</v>
          </cell>
        </row>
        <row r="27">
          <cell r="A27" t="str">
            <v>51317440765</v>
          </cell>
          <cell r="B27" t="str">
            <v>Лоб.ст. зелен.датч.инт.дождя/вирт.дисп.</v>
          </cell>
          <cell r="C27" t="str">
            <v>BMW</v>
          </cell>
          <cell r="D27">
            <v>3</v>
          </cell>
          <cell r="E27">
            <v>70499.404999999999</v>
          </cell>
          <cell r="G27" t="str">
            <v>автолига.рф</v>
          </cell>
          <cell r="H27">
            <v>115247</v>
          </cell>
          <cell r="I27">
            <v>67788</v>
          </cell>
          <cell r="J27">
            <v>66771.179999999993</v>
          </cell>
        </row>
        <row r="28">
          <cell r="A28" t="str">
            <v>51317440765</v>
          </cell>
          <cell r="B28" t="str">
            <v>Лоб.ст. зелен.датч.инт.дождя/вирт.дисп.</v>
          </cell>
          <cell r="C28" t="str">
            <v>BMW</v>
          </cell>
          <cell r="D28">
            <v>1</v>
          </cell>
          <cell r="E28">
            <v>70499.404999999999</v>
          </cell>
          <cell r="G28" t="str">
            <v>автолига.рф</v>
          </cell>
          <cell r="H28">
            <v>115247</v>
          </cell>
          <cell r="I28">
            <v>67788</v>
          </cell>
          <cell r="J28">
            <v>66771.179999999993</v>
          </cell>
        </row>
        <row r="29">
          <cell r="A29" t="str">
            <v>51317440765</v>
          </cell>
          <cell r="B29" t="str">
            <v>Лоб.ст. зелен.датч.инт.дождя/вирт.дисп.</v>
          </cell>
          <cell r="C29" t="str">
            <v>BMW</v>
          </cell>
          <cell r="D29">
            <v>1</v>
          </cell>
          <cell r="E29">
            <v>70499.404999999999</v>
          </cell>
          <cell r="G29" t="str">
            <v>автолига.рф</v>
          </cell>
          <cell r="H29">
            <v>68219</v>
          </cell>
          <cell r="I29">
            <v>67788</v>
          </cell>
          <cell r="J29">
            <v>66771.179999999993</v>
          </cell>
        </row>
        <row r="30">
          <cell r="A30" t="str">
            <v>51125A2C1E9</v>
          </cell>
          <cell r="B30" t="str">
            <v>Облицовка бампера Зд</v>
          </cell>
          <cell r="C30" t="str">
            <v>BMW</v>
          </cell>
          <cell r="D30">
            <v>1</v>
          </cell>
          <cell r="E30">
            <v>128696.80024999999</v>
          </cell>
          <cell r="G30" t="str">
            <v>tatparts.ru</v>
          </cell>
          <cell r="H30">
            <v>98192</v>
          </cell>
          <cell r="I30">
            <v>22900</v>
          </cell>
          <cell r="J30">
            <v>22556.5</v>
          </cell>
        </row>
        <row r="31">
          <cell r="A31" t="str">
            <v>5610160F21</v>
          </cell>
          <cell r="B31" t="str">
            <v>Лобовое стекло</v>
          </cell>
          <cell r="C31" t="str">
            <v>TOYOTA</v>
          </cell>
          <cell r="D31">
            <v>5</v>
          </cell>
          <cell r="E31">
            <v>94708</v>
          </cell>
          <cell r="G31" t="str">
            <v>автолига.рф</v>
          </cell>
          <cell r="H31">
            <v>94708</v>
          </cell>
          <cell r="I31">
            <v>85474</v>
          </cell>
          <cell r="J31">
            <v>84191.89</v>
          </cell>
        </row>
        <row r="32">
          <cell r="A32" t="str">
            <v>95863117802</v>
          </cell>
          <cell r="B32" t="str">
            <v>Фара передняя правая</v>
          </cell>
          <cell r="C32" t="str">
            <v>PORSCHE</v>
          </cell>
          <cell r="D32">
            <v>1</v>
          </cell>
          <cell r="E32">
            <v>93700</v>
          </cell>
          <cell r="G32" t="str">
            <v>tatparts.ru</v>
          </cell>
          <cell r="H32">
            <v>93619</v>
          </cell>
          <cell r="I32">
            <v>70639</v>
          </cell>
          <cell r="J32">
            <v>69579.414999999994</v>
          </cell>
        </row>
        <row r="33">
          <cell r="A33" t="str">
            <v>92101L2000</v>
          </cell>
          <cell r="B33" t="str">
            <v>Фара левая</v>
          </cell>
          <cell r="C33" t="str">
            <v>HYUNDAI/KIA</v>
          </cell>
          <cell r="D33">
            <v>1</v>
          </cell>
          <cell r="E33">
            <v>37112.83</v>
          </cell>
          <cell r="G33" t="str">
            <v>автолига.рф</v>
          </cell>
          <cell r="H33">
            <v>88160</v>
          </cell>
          <cell r="I33">
            <v>34720</v>
          </cell>
          <cell r="J33">
            <v>34199.199999999997</v>
          </cell>
        </row>
        <row r="34">
          <cell r="A34" t="str">
            <v>92101L2000</v>
          </cell>
          <cell r="B34" t="str">
            <v>Фара левая</v>
          </cell>
          <cell r="C34" t="str">
            <v>HYUNDAI/KIA</v>
          </cell>
          <cell r="D34">
            <v>1</v>
          </cell>
          <cell r="E34">
            <v>37112.83</v>
          </cell>
          <cell r="G34" t="str">
            <v>автолига.рф</v>
          </cell>
          <cell r="H34">
            <v>88160</v>
          </cell>
          <cell r="I34">
            <v>34720</v>
          </cell>
          <cell r="J34">
            <v>34199.199999999997</v>
          </cell>
        </row>
        <row r="35">
          <cell r="A35" t="str">
            <v>51317409375</v>
          </cell>
          <cell r="B35" t="str">
            <v>Лоб.стекло зеленое датч.дожд/осв./запот</v>
          </cell>
          <cell r="C35" t="str">
            <v>BMW</v>
          </cell>
          <cell r="D35">
            <v>2</v>
          </cell>
          <cell r="E35">
            <v>66925</v>
          </cell>
          <cell r="G35" t="str">
            <v>автолига.рф</v>
          </cell>
          <cell r="H35">
            <v>86925</v>
          </cell>
          <cell r="I35">
            <v>55062</v>
          </cell>
          <cell r="J35">
            <v>54236.07</v>
          </cell>
        </row>
        <row r="36">
          <cell r="A36" t="str">
            <v>51317409385</v>
          </cell>
          <cell r="B36" t="str">
            <v>Лоб.стекло зеленое датч.дожд/осв./запот</v>
          </cell>
          <cell r="C36" t="str">
            <v>BMW</v>
          </cell>
          <cell r="D36">
            <v>1</v>
          </cell>
          <cell r="E36">
            <v>82063.304999999993</v>
          </cell>
          <cell r="G36" t="str">
            <v>tatparts.ru</v>
          </cell>
          <cell r="H36">
            <v>86925</v>
          </cell>
          <cell r="I36">
            <v>82858</v>
          </cell>
          <cell r="J36">
            <v>81615.13</v>
          </cell>
        </row>
        <row r="37">
          <cell r="A37" t="str">
            <v>51319466316</v>
          </cell>
          <cell r="B37" t="str">
            <v>Стекло лобовое зеленое датч.дожд/осв./запот</v>
          </cell>
          <cell r="C37" t="str">
            <v>BMW</v>
          </cell>
          <cell r="D37">
            <v>1</v>
          </cell>
          <cell r="E37">
            <v>67397.64</v>
          </cell>
          <cell r="G37" t="str">
            <v>tatparts.ru</v>
          </cell>
          <cell r="H37">
            <v>86599</v>
          </cell>
          <cell r="I37">
            <v>66555</v>
          </cell>
          <cell r="J37">
            <v>65556.675000000003</v>
          </cell>
        </row>
        <row r="38">
          <cell r="A38" t="str">
            <v>51319466316</v>
          </cell>
          <cell r="B38" t="str">
            <v>Стекло лобовое зеленое датч.дожд/осв./запот</v>
          </cell>
          <cell r="C38" t="str">
            <v>BMW</v>
          </cell>
          <cell r="D38">
            <v>3</v>
          </cell>
          <cell r="E38">
            <v>67397.64</v>
          </cell>
          <cell r="G38" t="str">
            <v>tatparts.ru</v>
          </cell>
          <cell r="H38">
            <v>69597</v>
          </cell>
          <cell r="I38">
            <v>66555</v>
          </cell>
          <cell r="J38">
            <v>65556.675000000003</v>
          </cell>
        </row>
        <row r="39">
          <cell r="A39" t="str">
            <v>51118099895</v>
          </cell>
          <cell r="B39" t="str">
            <v>Облицовка бампера Performance Пд грунт.</v>
          </cell>
          <cell r="C39" t="str">
            <v>BMW</v>
          </cell>
          <cell r="D39">
            <v>1</v>
          </cell>
          <cell r="E39">
            <v>72155.19</v>
          </cell>
          <cell r="G39" t="str">
            <v>автолига.рф</v>
          </cell>
          <cell r="H39">
            <v>82182</v>
          </cell>
          <cell r="I39">
            <v>68857</v>
          </cell>
          <cell r="J39">
            <v>67824.145000000004</v>
          </cell>
        </row>
        <row r="40">
          <cell r="A40" t="str">
            <v>51118099895</v>
          </cell>
          <cell r="B40" t="str">
            <v>Облицовка бампера Performance Пд грунт.</v>
          </cell>
          <cell r="C40" t="str">
            <v>BMW</v>
          </cell>
          <cell r="D40">
            <v>1</v>
          </cell>
          <cell r="E40">
            <v>72155.19</v>
          </cell>
          <cell r="G40" t="str">
            <v>автолига.рф</v>
          </cell>
          <cell r="H40">
            <v>82182</v>
          </cell>
          <cell r="I40">
            <v>68857</v>
          </cell>
          <cell r="J40">
            <v>67824.145000000004</v>
          </cell>
        </row>
        <row r="41">
          <cell r="A41" t="str">
            <v>51317440772</v>
          </cell>
          <cell r="B41" t="str">
            <v>Стекло лобовое зеленое датч.дожд/осв./запот</v>
          </cell>
          <cell r="C41" t="str">
            <v>BMW</v>
          </cell>
          <cell r="D41">
            <v>4</v>
          </cell>
          <cell r="E41">
            <v>70568.354999999996</v>
          </cell>
          <cell r="G41" t="str">
            <v>автолига.рф</v>
          </cell>
          <cell r="H41">
            <v>80732</v>
          </cell>
          <cell r="I41">
            <v>66713</v>
          </cell>
          <cell r="J41">
            <v>65712.304999999993</v>
          </cell>
        </row>
        <row r="42">
          <cell r="A42" t="str">
            <v>51317440772</v>
          </cell>
          <cell r="B42" t="str">
            <v>Стекло лобовое зеленое датч.дожд/осв./запот</v>
          </cell>
          <cell r="C42" t="str">
            <v>BMW</v>
          </cell>
          <cell r="D42">
            <v>1</v>
          </cell>
          <cell r="E42">
            <v>70568.354999999996</v>
          </cell>
          <cell r="G42" t="str">
            <v>автолига.рф</v>
          </cell>
          <cell r="H42">
            <v>106679</v>
          </cell>
          <cell r="I42">
            <v>66713</v>
          </cell>
          <cell r="J42">
            <v>65712.304999999993</v>
          </cell>
        </row>
        <row r="43">
          <cell r="A43" t="str">
            <v>801000399R</v>
          </cell>
          <cell r="B43" t="str">
            <v>Дверь передняя правая</v>
          </cell>
          <cell r="C43" t="str">
            <v>RENAULT</v>
          </cell>
          <cell r="D43">
            <v>6</v>
          </cell>
          <cell r="E43">
            <v>75236.27</v>
          </cell>
          <cell r="G43" t="str">
            <v>автолига.рф</v>
          </cell>
          <cell r="H43">
            <v>79587</v>
          </cell>
          <cell r="I43">
            <v>76382</v>
          </cell>
          <cell r="J43">
            <v>75236.27</v>
          </cell>
        </row>
        <row r="44">
          <cell r="A44" t="str">
            <v>51317388744</v>
          </cell>
          <cell r="B44" t="str">
            <v>Лобовое стекло grьn</v>
          </cell>
          <cell r="C44" t="str">
            <v>BMW</v>
          </cell>
          <cell r="D44">
            <v>7</v>
          </cell>
          <cell r="E44">
            <v>66550</v>
          </cell>
          <cell r="G44" t="str">
            <v>автолига.рф</v>
          </cell>
          <cell r="H44">
            <v>78842</v>
          </cell>
          <cell r="I44">
            <v>65032</v>
          </cell>
          <cell r="J44">
            <v>64056.52</v>
          </cell>
        </row>
        <row r="45">
          <cell r="A45" t="str">
            <v>51317388744</v>
          </cell>
          <cell r="B45" t="str">
            <v>Лобовое стекло grьn</v>
          </cell>
          <cell r="C45" t="str">
            <v>BMW</v>
          </cell>
          <cell r="D45">
            <v>1</v>
          </cell>
          <cell r="E45">
            <v>66550</v>
          </cell>
          <cell r="G45" t="str">
            <v>автолига.рф</v>
          </cell>
          <cell r="H45">
            <v>78842</v>
          </cell>
          <cell r="I45">
            <v>65032</v>
          </cell>
          <cell r="J45">
            <v>64056.52</v>
          </cell>
        </row>
        <row r="46">
          <cell r="A46" t="str">
            <v>51317388744</v>
          </cell>
          <cell r="B46" t="str">
            <v>Лобовое стекло grьn</v>
          </cell>
          <cell r="C46" t="str">
            <v>BMW</v>
          </cell>
          <cell r="D46">
            <v>1</v>
          </cell>
          <cell r="E46">
            <v>66550</v>
          </cell>
          <cell r="G46" t="str">
            <v>автолига.рф</v>
          </cell>
          <cell r="H46">
            <v>78842</v>
          </cell>
          <cell r="I46">
            <v>65032</v>
          </cell>
          <cell r="J46">
            <v>64056.52</v>
          </cell>
        </row>
        <row r="47">
          <cell r="A47" t="str">
            <v>60U880204D</v>
          </cell>
          <cell r="B47" t="str">
            <v>Подушка безопасности пассажира</v>
          </cell>
          <cell r="C47" t="str">
            <v>VAG</v>
          </cell>
          <cell r="D47">
            <v>2</v>
          </cell>
          <cell r="E47">
            <v>5700</v>
          </cell>
          <cell r="G47" t="str">
            <v>tatparts.ru</v>
          </cell>
          <cell r="H47">
            <v>77974</v>
          </cell>
          <cell r="I47">
            <v>5305</v>
          </cell>
          <cell r="J47">
            <v>5225.4250000000002</v>
          </cell>
        </row>
        <row r="48">
          <cell r="A48" t="str">
            <v>760318641R</v>
          </cell>
          <cell r="B48" t="str">
            <v>Крыло зад лев</v>
          </cell>
          <cell r="C48" t="str">
            <v>RENAULT</v>
          </cell>
          <cell r="D48">
            <v>1</v>
          </cell>
          <cell r="E48">
            <v>70616.62</v>
          </cell>
          <cell r="G48" t="str">
            <v>автолига.рф</v>
          </cell>
          <cell r="H48">
            <v>75039</v>
          </cell>
          <cell r="I48">
            <v>71692</v>
          </cell>
          <cell r="J48">
            <v>70616.62</v>
          </cell>
        </row>
        <row r="49">
          <cell r="A49" t="str">
            <v>760318641R</v>
          </cell>
          <cell r="B49" t="str">
            <v>Крыло зад лев</v>
          </cell>
          <cell r="C49" t="str">
            <v>RENAULT</v>
          </cell>
          <cell r="D49">
            <v>1</v>
          </cell>
          <cell r="E49">
            <v>70616.62</v>
          </cell>
          <cell r="G49" t="str">
            <v>автолига.рф</v>
          </cell>
          <cell r="H49">
            <v>75039</v>
          </cell>
          <cell r="I49">
            <v>71692</v>
          </cell>
          <cell r="J49">
            <v>70616.62</v>
          </cell>
        </row>
        <row r="50">
          <cell r="A50" t="str">
            <v>51138494885</v>
          </cell>
          <cell r="B50" t="str">
            <v>Решетка передняя декоративная</v>
          </cell>
          <cell r="C50" t="str">
            <v>BMW</v>
          </cell>
          <cell r="D50">
            <v>1</v>
          </cell>
          <cell r="E50">
            <v>38565.17</v>
          </cell>
          <cell r="G50" t="str">
            <v>автолига.рф</v>
          </cell>
          <cell r="H50">
            <v>66266</v>
          </cell>
          <cell r="I50">
            <v>37122</v>
          </cell>
          <cell r="J50">
            <v>36565.17</v>
          </cell>
        </row>
        <row r="51">
          <cell r="A51" t="str">
            <v>51138494885</v>
          </cell>
          <cell r="B51" t="str">
            <v>Решетка передняя декоративная</v>
          </cell>
          <cell r="C51" t="str">
            <v>BMW</v>
          </cell>
          <cell r="D51">
            <v>1</v>
          </cell>
          <cell r="E51">
            <v>38565.17</v>
          </cell>
          <cell r="G51" t="str">
            <v>автолига.рф</v>
          </cell>
          <cell r="H51">
            <v>49883</v>
          </cell>
          <cell r="I51">
            <v>37122</v>
          </cell>
          <cell r="J51">
            <v>36565.17</v>
          </cell>
        </row>
        <row r="52">
          <cell r="A52" t="str">
            <v>5206603XST11A-D</v>
          </cell>
          <cell r="B52" t="str">
            <v>Стекло лобовое</v>
          </cell>
          <cell r="C52" t="str">
            <v>HAVAL</v>
          </cell>
          <cell r="D52">
            <v>1</v>
          </cell>
          <cell r="E52">
            <v>31500</v>
          </cell>
          <cell r="G52" t="str">
            <v>tatparts.ru</v>
          </cell>
          <cell r="H52">
            <v>63732</v>
          </cell>
          <cell r="I52">
            <v>31312</v>
          </cell>
          <cell r="J52">
            <v>30842.32</v>
          </cell>
        </row>
        <row r="53">
          <cell r="A53" t="str">
            <v>86111M6120</v>
          </cell>
          <cell r="B53" t="str">
            <v>Стекло ветровое</v>
          </cell>
          <cell r="C53" t="str">
            <v>HYUNDAI/KIA</v>
          </cell>
          <cell r="D53">
            <v>1</v>
          </cell>
          <cell r="E53">
            <v>24500</v>
          </cell>
          <cell r="G53" t="str">
            <v>tatparts.ru</v>
          </cell>
          <cell r="H53">
            <v>59998</v>
          </cell>
          <cell r="I53">
            <v>20168</v>
          </cell>
          <cell r="J53">
            <v>19865.48</v>
          </cell>
        </row>
        <row r="54">
          <cell r="A54" t="str">
            <v>86111M6120</v>
          </cell>
          <cell r="B54" t="str">
            <v>Стекло ветровое</v>
          </cell>
          <cell r="C54" t="str">
            <v>HYUNDAI/KIA</v>
          </cell>
          <cell r="D54">
            <v>1</v>
          </cell>
          <cell r="E54">
            <v>24500</v>
          </cell>
          <cell r="G54" t="str">
            <v>tatparts.ru</v>
          </cell>
          <cell r="H54">
            <v>59998</v>
          </cell>
          <cell r="I54">
            <v>20168</v>
          </cell>
          <cell r="J54">
            <v>19865.48</v>
          </cell>
        </row>
        <row r="55">
          <cell r="A55" t="str">
            <v>86111M6120</v>
          </cell>
          <cell r="B55" t="str">
            <v>Стекло ветровое</v>
          </cell>
          <cell r="C55" t="str">
            <v>HYUNDAI/KIA</v>
          </cell>
          <cell r="D55">
            <v>1</v>
          </cell>
          <cell r="E55">
            <v>24500</v>
          </cell>
          <cell r="G55" t="str">
            <v>tatparts.ru</v>
          </cell>
          <cell r="H55">
            <v>59998</v>
          </cell>
          <cell r="I55">
            <v>20168</v>
          </cell>
          <cell r="J55">
            <v>19865.48</v>
          </cell>
        </row>
        <row r="56">
          <cell r="A56" t="str">
            <v>86111M6120</v>
          </cell>
          <cell r="B56" t="str">
            <v>Стекло ветровое</v>
          </cell>
          <cell r="C56" t="str">
            <v>HYUNDAI/KIA</v>
          </cell>
          <cell r="D56">
            <v>1</v>
          </cell>
          <cell r="E56">
            <v>24500</v>
          </cell>
          <cell r="G56" t="str">
            <v>tatparts.ru</v>
          </cell>
          <cell r="H56">
            <v>59998</v>
          </cell>
          <cell r="I56">
            <v>20168</v>
          </cell>
          <cell r="J56">
            <v>19865.48</v>
          </cell>
        </row>
        <row r="57">
          <cell r="A57" t="str">
            <v>86111M6120</v>
          </cell>
          <cell r="B57" t="str">
            <v>Стекло ветровое</v>
          </cell>
          <cell r="C57" t="str">
            <v>HYUNDAI/KIA</v>
          </cell>
          <cell r="D57">
            <v>1</v>
          </cell>
          <cell r="E57">
            <v>24500</v>
          </cell>
          <cell r="G57" t="str">
            <v>tatparts.ru</v>
          </cell>
          <cell r="H57">
            <v>59998</v>
          </cell>
          <cell r="I57">
            <v>20168</v>
          </cell>
          <cell r="J57">
            <v>19865.48</v>
          </cell>
        </row>
        <row r="58">
          <cell r="A58" t="str">
            <v>86111M6120</v>
          </cell>
          <cell r="B58" t="str">
            <v>Стекло ветровое</v>
          </cell>
          <cell r="C58" t="str">
            <v>HYUNDAI/KIA</v>
          </cell>
          <cell r="D58">
            <v>1</v>
          </cell>
          <cell r="E58">
            <v>24500</v>
          </cell>
          <cell r="G58" t="str">
            <v>tatparts.ru</v>
          </cell>
          <cell r="H58">
            <v>59998</v>
          </cell>
          <cell r="I58">
            <v>20168</v>
          </cell>
          <cell r="J58">
            <v>19865.48</v>
          </cell>
        </row>
        <row r="59">
          <cell r="A59" t="str">
            <v>86111M6120</v>
          </cell>
          <cell r="B59" t="str">
            <v>Стекло ветровое</v>
          </cell>
          <cell r="C59" t="str">
            <v>HYUNDAI/KIA</v>
          </cell>
          <cell r="D59">
            <v>1</v>
          </cell>
          <cell r="E59">
            <v>24500</v>
          </cell>
          <cell r="G59" t="str">
            <v>tatparts.ru</v>
          </cell>
          <cell r="H59">
            <v>59998</v>
          </cell>
          <cell r="I59">
            <v>20168</v>
          </cell>
          <cell r="J59">
            <v>19865.48</v>
          </cell>
        </row>
        <row r="60">
          <cell r="A60" t="str">
            <v>5401102XST01A-D</v>
          </cell>
          <cell r="B60" t="str">
            <v>ПАНЕЛЬ КУЗОВА БОКОВАЯ ПРАВАЯ</v>
          </cell>
          <cell r="C60" t="str">
            <v>HAVAL</v>
          </cell>
          <cell r="D60">
            <v>1</v>
          </cell>
          <cell r="E60">
            <v>69929.3658</v>
          </cell>
          <cell r="G60" t="str">
            <v>автолига.рф</v>
          </cell>
          <cell r="H60">
            <v>57074</v>
          </cell>
          <cell r="I60">
            <v>29442</v>
          </cell>
          <cell r="J60">
            <v>29000.37</v>
          </cell>
        </row>
        <row r="61">
          <cell r="A61" t="str">
            <v>87860R0100SCR</v>
          </cell>
          <cell r="B61" t="str">
            <v>Накладка декоративная зад. правого крыла</v>
          </cell>
          <cell r="C61" t="str">
            <v>HYUNDAI/KIA</v>
          </cell>
          <cell r="D61">
            <v>1</v>
          </cell>
          <cell r="E61">
            <v>39500</v>
          </cell>
          <cell r="G61" t="str">
            <v>tatparts.ru</v>
          </cell>
          <cell r="H61">
            <v>53043</v>
          </cell>
          <cell r="I61">
            <v>7643</v>
          </cell>
          <cell r="J61">
            <v>7528.3549999999996</v>
          </cell>
        </row>
        <row r="62">
          <cell r="A62" t="str">
            <v>80A807434DGRU</v>
          </cell>
          <cell r="B62" t="str">
            <v>Спойлер заднего бампера</v>
          </cell>
          <cell r="C62" t="str">
            <v>VAG</v>
          </cell>
          <cell r="D62">
            <v>1</v>
          </cell>
          <cell r="E62">
            <v>40717</v>
          </cell>
          <cell r="G62" t="str">
            <v>tatparts.ru</v>
          </cell>
          <cell r="H62">
            <v>52801</v>
          </cell>
          <cell r="I62">
            <v>11449</v>
          </cell>
          <cell r="J62">
            <v>11277.264999999999</v>
          </cell>
        </row>
        <row r="63">
          <cell r="A63" t="str">
            <v>80A807434DGRU</v>
          </cell>
          <cell r="B63" t="str">
            <v>Спойлер заднего бампера</v>
          </cell>
          <cell r="C63" t="str">
            <v>VAG</v>
          </cell>
          <cell r="D63">
            <v>1</v>
          </cell>
          <cell r="E63">
            <v>40717</v>
          </cell>
          <cell r="G63" t="str">
            <v>tatparts.ru</v>
          </cell>
          <cell r="H63">
            <v>21163</v>
          </cell>
          <cell r="I63">
            <v>11449</v>
          </cell>
          <cell r="J63">
            <v>11277.264999999999</v>
          </cell>
        </row>
        <row r="64">
          <cell r="A64" t="str">
            <v>86110D7060</v>
          </cell>
          <cell r="B64" t="str">
            <v>Стекло лобовое</v>
          </cell>
          <cell r="C64" t="str">
            <v>HYUNDAI/KIA</v>
          </cell>
          <cell r="D64">
            <v>1</v>
          </cell>
          <cell r="E64">
            <v>43509.644999999997</v>
          </cell>
          <cell r="G64" t="str">
            <v>tatparts.ru</v>
          </cell>
          <cell r="H64">
            <v>52000</v>
          </cell>
          <cell r="I64">
            <v>43157</v>
          </cell>
          <cell r="J64">
            <v>42509.644999999997</v>
          </cell>
        </row>
        <row r="65">
          <cell r="A65" t="str">
            <v>2GK941035</v>
          </cell>
          <cell r="B65" t="str">
            <v>Фара передняя левая</v>
          </cell>
          <cell r="C65" t="str">
            <v>VAG</v>
          </cell>
          <cell r="D65">
            <v>1</v>
          </cell>
          <cell r="E65">
            <v>12838.535</v>
          </cell>
          <cell r="G65" t="str">
            <v>автолига.рф</v>
          </cell>
          <cell r="H65">
            <v>50731</v>
          </cell>
          <cell r="I65">
            <v>12831</v>
          </cell>
          <cell r="J65">
            <v>12638.535</v>
          </cell>
        </row>
        <row r="66">
          <cell r="A66" t="str">
            <v>86111L1410</v>
          </cell>
          <cell r="B66" t="str">
            <v>Стекло лобовое</v>
          </cell>
          <cell r="C66" t="str">
            <v>HYUNDAI/KIA</v>
          </cell>
          <cell r="D66">
            <v>1</v>
          </cell>
          <cell r="E66">
            <v>41500</v>
          </cell>
          <cell r="G66" t="str">
            <v>tatparts.ru</v>
          </cell>
          <cell r="H66">
            <v>48943</v>
          </cell>
          <cell r="I66">
            <v>41804</v>
          </cell>
          <cell r="J66">
            <v>41176.94</v>
          </cell>
        </row>
        <row r="67">
          <cell r="A67" t="str">
            <v>86111L1410</v>
          </cell>
          <cell r="B67" t="str">
            <v>Стекло лобовое</v>
          </cell>
          <cell r="C67" t="str">
            <v>HYUNDAI/KIA</v>
          </cell>
          <cell r="D67">
            <v>1</v>
          </cell>
          <cell r="E67">
            <v>41500</v>
          </cell>
          <cell r="G67" t="str">
            <v>tatparts.ru</v>
          </cell>
          <cell r="H67">
            <v>48943</v>
          </cell>
          <cell r="I67">
            <v>41804</v>
          </cell>
          <cell r="J67">
            <v>41176.94</v>
          </cell>
        </row>
        <row r="68">
          <cell r="A68" t="str">
            <v>86111L1410</v>
          </cell>
          <cell r="B68" t="str">
            <v>Стекло лобовое</v>
          </cell>
          <cell r="C68" t="str">
            <v>HYUNDAI/KIA</v>
          </cell>
          <cell r="D68">
            <v>1</v>
          </cell>
          <cell r="E68">
            <v>41500</v>
          </cell>
          <cell r="G68" t="str">
            <v>tatparts.ru</v>
          </cell>
          <cell r="H68">
            <v>48943</v>
          </cell>
          <cell r="I68">
            <v>41804</v>
          </cell>
          <cell r="J68">
            <v>41176.94</v>
          </cell>
        </row>
        <row r="69">
          <cell r="A69" t="str">
            <v>86111L1410</v>
          </cell>
          <cell r="B69" t="str">
            <v>Стекло лобовое</v>
          </cell>
          <cell r="C69" t="str">
            <v>HYUNDAI/KIA</v>
          </cell>
          <cell r="D69">
            <v>1</v>
          </cell>
          <cell r="E69">
            <v>41500</v>
          </cell>
          <cell r="G69" t="str">
            <v>tatparts.ru</v>
          </cell>
          <cell r="H69">
            <v>48943</v>
          </cell>
          <cell r="I69">
            <v>41804</v>
          </cell>
          <cell r="J69">
            <v>41176.94</v>
          </cell>
        </row>
        <row r="70">
          <cell r="A70" t="str">
            <v>86111L1410</v>
          </cell>
          <cell r="B70" t="str">
            <v>Стекло лобовое</v>
          </cell>
          <cell r="C70" t="str">
            <v>HYUNDAI/KIA</v>
          </cell>
          <cell r="D70">
            <v>1</v>
          </cell>
          <cell r="E70">
            <v>41500</v>
          </cell>
          <cell r="G70" t="str">
            <v>tatparts.ru</v>
          </cell>
          <cell r="H70">
            <v>48943</v>
          </cell>
          <cell r="I70">
            <v>41804</v>
          </cell>
          <cell r="J70">
            <v>41176.94</v>
          </cell>
        </row>
        <row r="71">
          <cell r="A71" t="str">
            <v>86111L1410</v>
          </cell>
          <cell r="B71" t="str">
            <v>Стекло лобовое</v>
          </cell>
          <cell r="C71" t="str">
            <v>HYUNDAI/KIA</v>
          </cell>
          <cell r="D71">
            <v>1</v>
          </cell>
          <cell r="E71">
            <v>41500</v>
          </cell>
          <cell r="G71" t="str">
            <v>tatparts.ru</v>
          </cell>
          <cell r="H71">
            <v>48943</v>
          </cell>
          <cell r="I71">
            <v>41804</v>
          </cell>
          <cell r="J71">
            <v>41176.94</v>
          </cell>
        </row>
        <row r="72">
          <cell r="A72" t="str">
            <v>MZ331440</v>
          </cell>
          <cell r="B72" t="str">
            <v>РАСШИРИТЕЛИ КОЛЕСНЫХ АРОК, К-Т. 4ШТ.</v>
          </cell>
          <cell r="C72" t="str">
            <v>MITSUBISHI</v>
          </cell>
          <cell r="D72">
            <v>1</v>
          </cell>
          <cell r="E72">
            <v>22100</v>
          </cell>
          <cell r="G72" t="str">
            <v>автолига.рф</v>
          </cell>
          <cell r="H72">
            <v>46118</v>
          </cell>
          <cell r="I72">
            <v>22324</v>
          </cell>
          <cell r="J72">
            <v>21989.14</v>
          </cell>
        </row>
        <row r="73">
          <cell r="A73" t="str">
            <v>86111S1020</v>
          </cell>
          <cell r="B73" t="str">
            <v>Стекло лобовое</v>
          </cell>
          <cell r="C73" t="str">
            <v>HYUNDAI/KIA</v>
          </cell>
          <cell r="D73">
            <v>1</v>
          </cell>
          <cell r="E73">
            <v>38034</v>
          </cell>
          <cell r="G73" t="str">
            <v>tatparts.ru</v>
          </cell>
          <cell r="H73">
            <v>44137</v>
          </cell>
          <cell r="I73">
            <v>33553</v>
          </cell>
          <cell r="J73">
            <v>33049.705000000002</v>
          </cell>
        </row>
        <row r="74">
          <cell r="A74" t="str">
            <v>8W0821106A</v>
          </cell>
          <cell r="B74" t="str">
            <v>Крыло</v>
          </cell>
          <cell r="C74" t="str">
            <v>VAG</v>
          </cell>
          <cell r="D74">
            <v>1</v>
          </cell>
          <cell r="E74">
            <v>38648.445</v>
          </cell>
          <cell r="G74" t="str">
            <v>tatparts.ru</v>
          </cell>
          <cell r="H74">
            <v>42587</v>
          </cell>
          <cell r="I74">
            <v>35718</v>
          </cell>
          <cell r="J74">
            <v>35182.229999999996</v>
          </cell>
        </row>
        <row r="75">
          <cell r="A75" t="str">
            <v>92403M0100</v>
          </cell>
          <cell r="B75" t="str">
            <v>Фонарь внутренний левый</v>
          </cell>
          <cell r="C75" t="str">
            <v>HYUNDAI/KIA</v>
          </cell>
          <cell r="D75">
            <v>1</v>
          </cell>
          <cell r="E75">
            <v>30100</v>
          </cell>
          <cell r="G75" t="str">
            <v>автолига.рф</v>
          </cell>
          <cell r="H75">
            <v>42390</v>
          </cell>
          <cell r="I75">
            <v>30278</v>
          </cell>
          <cell r="J75">
            <v>29823.829999999998</v>
          </cell>
        </row>
        <row r="76">
          <cell r="A76" t="str">
            <v>5NA807421  GRU</v>
          </cell>
          <cell r="B76" t="str">
            <v>Бампер задний</v>
          </cell>
          <cell r="C76" t="str">
            <v>VAG</v>
          </cell>
          <cell r="D76">
            <v>1</v>
          </cell>
          <cell r="E76">
            <v>76291.205000000002</v>
          </cell>
          <cell r="G76" t="str">
            <v>tatparts.ru</v>
          </cell>
          <cell r="H76">
            <v>42193</v>
          </cell>
          <cell r="I76">
            <v>18491</v>
          </cell>
          <cell r="J76">
            <v>18213.634999999998</v>
          </cell>
        </row>
        <row r="77">
          <cell r="A77" t="str">
            <v>92202D4600</v>
          </cell>
          <cell r="B77" t="str">
            <v>Фара ДХО правая</v>
          </cell>
          <cell r="C77" t="str">
            <v>HYUNDAI/KIA</v>
          </cell>
          <cell r="D77">
            <v>1</v>
          </cell>
          <cell r="E77">
            <v>23900</v>
          </cell>
          <cell r="G77" t="str">
            <v>автолига.рф</v>
          </cell>
          <cell r="H77">
            <v>39915</v>
          </cell>
          <cell r="I77">
            <v>13653</v>
          </cell>
          <cell r="J77">
            <v>13448.205</v>
          </cell>
        </row>
        <row r="78">
          <cell r="A78" t="str">
            <v>92202D4600</v>
          </cell>
          <cell r="B78" t="str">
            <v>Фара ДХО правая</v>
          </cell>
          <cell r="C78" t="str">
            <v>HYUNDAI/KIA</v>
          </cell>
          <cell r="D78">
            <v>1</v>
          </cell>
          <cell r="E78">
            <v>23900</v>
          </cell>
          <cell r="G78" t="str">
            <v>автолига.рф</v>
          </cell>
          <cell r="H78">
            <v>39915</v>
          </cell>
          <cell r="I78">
            <v>13653</v>
          </cell>
          <cell r="J78">
            <v>13448.205</v>
          </cell>
        </row>
        <row r="79">
          <cell r="A79" t="str">
            <v>77004D3000</v>
          </cell>
          <cell r="B79" t="str">
            <v>Дверь задняя правая</v>
          </cell>
          <cell r="C79" t="str">
            <v>HYUNDAI/KIA</v>
          </cell>
          <cell r="D79">
            <v>1</v>
          </cell>
          <cell r="E79">
            <v>40253.01</v>
          </cell>
          <cell r="G79" t="str">
            <v>tatparts.ru</v>
          </cell>
          <cell r="H79">
            <v>39861</v>
          </cell>
          <cell r="I79">
            <v>38710</v>
          </cell>
          <cell r="J79">
            <v>38129.35</v>
          </cell>
        </row>
        <row r="80">
          <cell r="A80" t="str">
            <v>EH6251150H</v>
          </cell>
          <cell r="B80" t="str">
            <v>ФОНАРЬ ЗАДНИЙ ПРАВЫЙ MOD</v>
          </cell>
          <cell r="C80" t="str">
            <v>Mazda</v>
          </cell>
          <cell r="D80">
            <v>2</v>
          </cell>
          <cell r="E80">
            <v>38163</v>
          </cell>
          <cell r="G80" t="str">
            <v>tatparts.ru</v>
          </cell>
          <cell r="H80">
            <v>38163</v>
          </cell>
          <cell r="I80">
            <v>33329</v>
          </cell>
          <cell r="J80">
            <v>32829.065000000002</v>
          </cell>
        </row>
        <row r="81">
          <cell r="A81" t="str">
            <v>8794060N61</v>
          </cell>
          <cell r="B81" t="str">
            <v>ЗЕРКАЛО НАРУЖНОЕ ЛЕВ</v>
          </cell>
          <cell r="C81" t="str">
            <v>TOYOTA</v>
          </cell>
          <cell r="D81">
            <v>1</v>
          </cell>
          <cell r="E81">
            <v>30952.639999999999</v>
          </cell>
          <cell r="G81" t="str">
            <v>автолига.рф</v>
          </cell>
          <cell r="H81">
            <v>37462</v>
          </cell>
          <cell r="I81">
            <v>31424</v>
          </cell>
          <cell r="J81">
            <v>30952.639999999999</v>
          </cell>
        </row>
        <row r="82">
          <cell r="A82" t="str">
            <v>641012W510</v>
          </cell>
          <cell r="B82" t="str">
            <v>Рамка радиатора</v>
          </cell>
          <cell r="C82" t="str">
            <v>HYUNDAI/KIA</v>
          </cell>
          <cell r="D82">
            <v>1</v>
          </cell>
          <cell r="E82">
            <v>26502.455000000002</v>
          </cell>
          <cell r="G82" t="str">
            <v>автолига.рф</v>
          </cell>
          <cell r="H82">
            <v>37386</v>
          </cell>
          <cell r="I82">
            <v>26703</v>
          </cell>
          <cell r="J82">
            <v>26302.454999999998</v>
          </cell>
        </row>
        <row r="83">
          <cell r="A83" t="str">
            <v>6N5827469D DPJ</v>
          </cell>
          <cell r="B83" t="str">
            <v>Привод замка открывания крышки багажника с эмблемой</v>
          </cell>
          <cell r="C83" t="str">
            <v>VAG</v>
          </cell>
          <cell r="D83">
            <v>1</v>
          </cell>
          <cell r="E83">
            <v>19937.89</v>
          </cell>
          <cell r="G83" t="str">
            <v>автолига.рф</v>
          </cell>
          <cell r="H83">
            <v>37197</v>
          </cell>
          <cell r="I83">
            <v>9074</v>
          </cell>
          <cell r="J83">
            <v>8937.89</v>
          </cell>
        </row>
        <row r="84">
          <cell r="A84" t="str">
            <v>41008494439</v>
          </cell>
          <cell r="B84" t="str">
            <v>Крыло Л Пд</v>
          </cell>
          <cell r="C84" t="str">
            <v>BMW</v>
          </cell>
          <cell r="D84">
            <v>1</v>
          </cell>
          <cell r="E84">
            <v>32881.495000000003</v>
          </cell>
          <cell r="G84" t="str">
            <v>автолига.рф</v>
          </cell>
          <cell r="H84">
            <v>36313</v>
          </cell>
          <cell r="I84">
            <v>32367</v>
          </cell>
          <cell r="J84">
            <v>31881.494999999999</v>
          </cell>
        </row>
        <row r="85">
          <cell r="A85" t="str">
            <v>82305C1400VTR</v>
          </cell>
          <cell r="B85" t="str">
            <v>Обшивка двери перед. лев.</v>
          </cell>
          <cell r="C85" t="str">
            <v>HYUNDAI/KIA</v>
          </cell>
          <cell r="D85">
            <v>1</v>
          </cell>
          <cell r="E85">
            <v>31902.18</v>
          </cell>
          <cell r="G85" t="str">
            <v>автолига.рф</v>
          </cell>
          <cell r="H85">
            <v>35146</v>
          </cell>
          <cell r="I85">
            <v>155</v>
          </cell>
          <cell r="J85">
            <v>152.67500000000001</v>
          </cell>
        </row>
        <row r="86">
          <cell r="A86" t="str">
            <v>B015343</v>
          </cell>
          <cell r="B86" t="str">
            <v>Бампер задний</v>
          </cell>
          <cell r="C86" t="str">
            <v>DONGFENG</v>
          </cell>
          <cell r="D86">
            <v>1</v>
          </cell>
          <cell r="E86">
            <v>19227</v>
          </cell>
          <cell r="G86" t="str">
            <v>автолига.рф</v>
          </cell>
          <cell r="H86">
            <v>34902</v>
          </cell>
          <cell r="I86">
            <v>19317</v>
          </cell>
          <cell r="J86">
            <v>19027.244999999999</v>
          </cell>
        </row>
        <row r="87">
          <cell r="A87" t="str">
            <v>87310R0100</v>
          </cell>
          <cell r="B87" t="str">
            <v>Панель двери багажного отсека</v>
          </cell>
          <cell r="C87" t="str">
            <v>HYUNDAI/KIA</v>
          </cell>
          <cell r="D87">
            <v>1</v>
          </cell>
          <cell r="E87">
            <v>24100</v>
          </cell>
          <cell r="G87" t="str">
            <v>автолига.рф</v>
          </cell>
          <cell r="H87">
            <v>33841</v>
          </cell>
          <cell r="I87">
            <v>20552</v>
          </cell>
          <cell r="J87">
            <v>20243.72</v>
          </cell>
        </row>
        <row r="88">
          <cell r="A88" t="str">
            <v>A2139065209</v>
          </cell>
          <cell r="B88" t="str">
            <v>Фонарь задний правый</v>
          </cell>
          <cell r="C88" t="str">
            <v>MERCEDES BENZ</v>
          </cell>
          <cell r="D88">
            <v>1</v>
          </cell>
          <cell r="E88">
            <v>27926</v>
          </cell>
          <cell r="G88" t="str">
            <v>автолига.рф</v>
          </cell>
          <cell r="H88">
            <v>33165</v>
          </cell>
          <cell r="I88">
            <v>25329</v>
          </cell>
          <cell r="J88">
            <v>24949.064999999999</v>
          </cell>
        </row>
        <row r="89">
          <cell r="A89" t="str">
            <v>605000784AA</v>
          </cell>
          <cell r="B89" t="str">
            <v>ФОНАРЬ ЗАДНИЙ ЛЕВЫЙ ФИКСИРОВАННЫЙ</v>
          </cell>
          <cell r="C89" t="str">
            <v>CHERY</v>
          </cell>
          <cell r="D89">
            <v>1</v>
          </cell>
          <cell r="E89">
            <v>14658</v>
          </cell>
          <cell r="G89" t="str">
            <v>tatparts.ru</v>
          </cell>
          <cell r="H89">
            <v>32475</v>
          </cell>
          <cell r="I89">
            <v>7499</v>
          </cell>
          <cell r="J89">
            <v>7386.5150000000003</v>
          </cell>
        </row>
        <row r="90">
          <cell r="A90" t="str">
            <v>5830742022</v>
          </cell>
          <cell r="B90" t="str">
            <v>ПАНЕЛЬ ЗАДНЯЯ</v>
          </cell>
          <cell r="C90" t="str">
            <v>TOYOTA</v>
          </cell>
          <cell r="D90">
            <v>1</v>
          </cell>
          <cell r="E90">
            <v>25020</v>
          </cell>
          <cell r="G90" t="str">
            <v>tatparts.ru</v>
          </cell>
          <cell r="H90">
            <v>31427</v>
          </cell>
          <cell r="I90">
            <v>23780</v>
          </cell>
          <cell r="J90">
            <v>23423.3</v>
          </cell>
        </row>
        <row r="91">
          <cell r="A91" t="str">
            <v>6405A240XA</v>
          </cell>
          <cell r="B91" t="str">
            <v>ЗАГЛУШКА ПЕРЕДНЕГО БАМПЕРА</v>
          </cell>
          <cell r="C91" t="str">
            <v>MITSUBISHI</v>
          </cell>
          <cell r="D91">
            <v>1</v>
          </cell>
          <cell r="E91">
            <v>15550</v>
          </cell>
          <cell r="G91" t="str">
            <v>автолига.рф</v>
          </cell>
          <cell r="H91">
            <v>30286</v>
          </cell>
          <cell r="I91">
            <v>10148</v>
          </cell>
          <cell r="J91">
            <v>9995.7800000000007</v>
          </cell>
        </row>
        <row r="92">
          <cell r="A92" t="str">
            <v>727129445R</v>
          </cell>
          <cell r="B92" t="str">
            <v>Стекло лобовое</v>
          </cell>
          <cell r="C92" t="str">
            <v>RENAULT</v>
          </cell>
          <cell r="D92">
            <v>4</v>
          </cell>
          <cell r="E92">
            <v>27635.16</v>
          </cell>
          <cell r="G92" t="str">
            <v>автолига.рф</v>
          </cell>
          <cell r="H92">
            <v>30158</v>
          </cell>
          <cell r="I92">
            <v>28056</v>
          </cell>
          <cell r="J92">
            <v>27635.16</v>
          </cell>
        </row>
        <row r="93">
          <cell r="A93" t="str">
            <v>509000367AA</v>
          </cell>
          <cell r="B93" t="str">
            <v>СТЕКЛО ЛОБОВОЕ 4FL с подогревом</v>
          </cell>
          <cell r="C93" t="str">
            <v>CHERY</v>
          </cell>
          <cell r="D93">
            <v>1</v>
          </cell>
          <cell r="E93">
            <v>24350</v>
          </cell>
          <cell r="G93" t="str">
            <v>tatparts.ru</v>
          </cell>
          <cell r="H93">
            <v>28428</v>
          </cell>
          <cell r="I93">
            <v>24312</v>
          </cell>
          <cell r="J93">
            <v>23947.32</v>
          </cell>
        </row>
        <row r="94">
          <cell r="A94" t="str">
            <v>KC7R69121B</v>
          </cell>
          <cell r="B94" t="str">
            <v>КОРПУС ЗЕРКАЛА ПРАВЫЙ</v>
          </cell>
          <cell r="C94" t="str">
            <v>Mazda</v>
          </cell>
          <cell r="D94">
            <v>1</v>
          </cell>
          <cell r="E94">
            <v>16700</v>
          </cell>
          <cell r="G94" t="str">
            <v>автолига.рф</v>
          </cell>
          <cell r="H94">
            <v>28292</v>
          </cell>
          <cell r="I94">
            <v>16760</v>
          </cell>
          <cell r="J94">
            <v>16508.599999999999</v>
          </cell>
        </row>
        <row r="95">
          <cell r="A95" t="str">
            <v>64101A7001</v>
          </cell>
          <cell r="B95" t="str">
            <v>Рамка радиатора</v>
          </cell>
          <cell r="C95" t="str">
            <v>HYUNDAI/KIA</v>
          </cell>
          <cell r="D95">
            <v>1</v>
          </cell>
          <cell r="E95">
            <v>24149.244999999999</v>
          </cell>
          <cell r="G95" t="str">
            <v>tatparts.ru</v>
          </cell>
          <cell r="H95">
            <v>26649</v>
          </cell>
          <cell r="I95">
            <v>11126</v>
          </cell>
          <cell r="J95">
            <v>10959.11</v>
          </cell>
        </row>
        <row r="96">
          <cell r="A96" t="str">
            <v>LR052687</v>
          </cell>
          <cell r="B96" t="str">
            <v>ФИКС. СТЕКЛО ЗАДН. ОКНА ДВЕРИ</v>
          </cell>
          <cell r="C96" t="str">
            <v>LANDROVER</v>
          </cell>
          <cell r="D96">
            <v>1</v>
          </cell>
          <cell r="E96">
            <v>26500</v>
          </cell>
          <cell r="G96" t="str">
            <v>tatparts.ru</v>
          </cell>
          <cell r="H96">
            <v>26492</v>
          </cell>
          <cell r="I96">
            <v>21910</v>
          </cell>
          <cell r="J96">
            <v>21581.35</v>
          </cell>
        </row>
        <row r="97">
          <cell r="A97" t="str">
            <v>865113S500</v>
          </cell>
          <cell r="B97" t="str">
            <v>Бампер передний</v>
          </cell>
          <cell r="C97" t="str">
            <v>KOREA MOTOR COMPANY</v>
          </cell>
          <cell r="D97">
            <v>1</v>
          </cell>
          <cell r="E97">
            <v>22769</v>
          </cell>
          <cell r="H97">
            <v>26425</v>
          </cell>
          <cell r="I97">
            <v>22101</v>
          </cell>
          <cell r="J97">
            <v>21769.485000000001</v>
          </cell>
        </row>
        <row r="98">
          <cell r="A98" t="str">
            <v>G06-840101003AABJ</v>
          </cell>
          <cell r="B98" t="str">
            <v>Решетка радиатора</v>
          </cell>
          <cell r="C98" t="str">
            <v>KAIYI</v>
          </cell>
          <cell r="D98">
            <v>1</v>
          </cell>
          <cell r="E98">
            <v>18020.575000000001</v>
          </cell>
          <cell r="G98" t="str">
            <v>автолига.рф</v>
          </cell>
          <cell r="H98">
            <v>26208</v>
          </cell>
          <cell r="I98">
            <v>17943</v>
          </cell>
          <cell r="J98">
            <v>17673.855</v>
          </cell>
        </row>
        <row r="99">
          <cell r="A99" t="str">
            <v>5NA853651BEZLL</v>
          </cell>
          <cell r="B99" t="str">
            <v>Решетка радиатора</v>
          </cell>
          <cell r="C99" t="str">
            <v>VAG</v>
          </cell>
          <cell r="D99">
            <v>1</v>
          </cell>
          <cell r="E99">
            <v>16100</v>
          </cell>
          <cell r="G99" t="str">
            <v>автолига.рф</v>
          </cell>
          <cell r="H99">
            <v>25786</v>
          </cell>
          <cell r="I99">
            <v>16100</v>
          </cell>
          <cell r="J99">
            <v>15858.5</v>
          </cell>
        </row>
        <row r="100">
          <cell r="A100" t="str">
            <v>553000243AADYJ</v>
          </cell>
          <cell r="B100" t="str">
            <v>Крыло пер. правое</v>
          </cell>
          <cell r="C100" t="str">
            <v>KAIYI</v>
          </cell>
          <cell r="D100">
            <v>1</v>
          </cell>
          <cell r="E100">
            <v>12483</v>
          </cell>
          <cell r="G100" t="str">
            <v>tatparts.ru</v>
          </cell>
          <cell r="H100">
            <v>25776</v>
          </cell>
          <cell r="I100">
            <v>12572</v>
          </cell>
          <cell r="J100">
            <v>12383.42</v>
          </cell>
        </row>
        <row r="101">
          <cell r="A101" t="str">
            <v>57B857508Q</v>
          </cell>
          <cell r="B101" t="str">
            <v>Корпус зеркала правый</v>
          </cell>
          <cell r="C101" t="str">
            <v>VAG</v>
          </cell>
          <cell r="D101">
            <v>1</v>
          </cell>
          <cell r="E101">
            <v>15441</v>
          </cell>
          <cell r="G101" t="str">
            <v>tatparts.ru</v>
          </cell>
          <cell r="H101">
            <v>25658</v>
          </cell>
          <cell r="I101">
            <v>14705</v>
          </cell>
          <cell r="J101">
            <v>14484.424999999999</v>
          </cell>
        </row>
        <row r="102">
          <cell r="A102" t="str">
            <v>605000785AA</v>
          </cell>
          <cell r="B102" t="str">
            <v>ФОНАРЬ ЗАДНИЙ ПРАВЫЙ ФИКСИРОВАННЫЙ</v>
          </cell>
          <cell r="C102" t="str">
            <v>CHERY</v>
          </cell>
          <cell r="D102">
            <v>1</v>
          </cell>
          <cell r="E102">
            <v>10800</v>
          </cell>
          <cell r="G102" t="str">
            <v>tatparts.ru</v>
          </cell>
          <cell r="H102">
            <v>25561</v>
          </cell>
          <cell r="I102">
            <v>10942</v>
          </cell>
          <cell r="J102">
            <v>10777.869999999999</v>
          </cell>
        </row>
        <row r="103">
          <cell r="A103" t="str">
            <v>51128098694</v>
          </cell>
          <cell r="B103" t="str">
            <v>Облицовка бампера Зд Нж</v>
          </cell>
          <cell r="C103" t="str">
            <v>BMW</v>
          </cell>
          <cell r="D103">
            <v>1</v>
          </cell>
          <cell r="E103">
            <v>23629.165000000001</v>
          </cell>
          <cell r="G103" t="str">
            <v>tatparts.ru</v>
          </cell>
          <cell r="H103">
            <v>25520</v>
          </cell>
          <cell r="I103">
            <v>19627</v>
          </cell>
          <cell r="J103">
            <v>19332.595000000001</v>
          </cell>
        </row>
        <row r="104">
          <cell r="A104" t="str">
            <v>8159033350</v>
          </cell>
          <cell r="B104" t="str">
            <v>ФОНАРЬ ЗАДНИЙ ЛЕВЫЙ</v>
          </cell>
          <cell r="C104" t="str">
            <v>TOYOTA</v>
          </cell>
          <cell r="D104">
            <v>1</v>
          </cell>
          <cell r="E104">
            <v>13300</v>
          </cell>
          <cell r="G104" t="str">
            <v>tatparts.ru</v>
          </cell>
          <cell r="H104">
            <v>25491</v>
          </cell>
          <cell r="I104">
            <v>11776</v>
          </cell>
          <cell r="J104">
            <v>11599.36</v>
          </cell>
        </row>
        <row r="105">
          <cell r="A105" t="str">
            <v>4121020SA14</v>
          </cell>
          <cell r="B105" t="str">
            <v>Фара передняя правая 580</v>
          </cell>
          <cell r="C105" t="str">
            <v>DONGFENG</v>
          </cell>
          <cell r="D105">
            <v>1</v>
          </cell>
          <cell r="E105">
            <v>23990</v>
          </cell>
          <cell r="G105" t="str">
            <v>автолига.рф</v>
          </cell>
          <cell r="H105">
            <v>25390</v>
          </cell>
          <cell r="I105">
            <v>24295</v>
          </cell>
          <cell r="J105">
            <v>23930.575000000001</v>
          </cell>
        </row>
        <row r="106">
          <cell r="A106" t="str">
            <v>OEM0145KPT</v>
          </cell>
          <cell r="B106" t="str">
            <v>Капот</v>
          </cell>
          <cell r="C106" t="str">
            <v>Oem</v>
          </cell>
          <cell r="D106">
            <v>1</v>
          </cell>
          <cell r="E106">
            <v>22059.222750000001</v>
          </cell>
          <cell r="G106" t="str">
            <v>tatparts.ru</v>
          </cell>
          <cell r="H106">
            <v>25326</v>
          </cell>
          <cell r="I106">
            <v>21363</v>
          </cell>
          <cell r="J106">
            <v>21042.555</v>
          </cell>
        </row>
        <row r="107">
          <cell r="A107" t="str">
            <v>MZ331344</v>
          </cell>
          <cell r="B107" t="str">
            <v>НАКЛАДКА ПЕРЕДНЕГО БАМПЕРА НИЖНЯЯ</v>
          </cell>
          <cell r="C107" t="str">
            <v>MITSUBISHI</v>
          </cell>
          <cell r="D107">
            <v>2</v>
          </cell>
          <cell r="E107">
            <v>9500</v>
          </cell>
          <cell r="G107" t="str">
            <v>автолига.рф</v>
          </cell>
          <cell r="H107">
            <v>24493</v>
          </cell>
          <cell r="I107">
            <v>9266</v>
          </cell>
          <cell r="J107">
            <v>9127.01</v>
          </cell>
        </row>
        <row r="108">
          <cell r="A108" t="str">
            <v>MZ331344</v>
          </cell>
          <cell r="B108" t="str">
            <v>НАКЛАДКА ПЕРЕДНЕГО БАМПЕРА НИЖНЯЯ</v>
          </cell>
          <cell r="C108" t="str">
            <v>MITSUBISHI</v>
          </cell>
          <cell r="D108">
            <v>1</v>
          </cell>
          <cell r="E108">
            <v>9500</v>
          </cell>
          <cell r="G108" t="str">
            <v>автолига.рф</v>
          </cell>
          <cell r="H108">
            <v>24493</v>
          </cell>
          <cell r="I108">
            <v>9266</v>
          </cell>
          <cell r="J108">
            <v>9127.01</v>
          </cell>
        </row>
        <row r="109">
          <cell r="A109" t="str">
            <v>6013028500</v>
          </cell>
          <cell r="B109" t="str">
            <v>Решетка радиатора</v>
          </cell>
          <cell r="C109" t="str">
            <v>GEELY</v>
          </cell>
          <cell r="D109">
            <v>1</v>
          </cell>
          <cell r="E109">
            <v>5245</v>
          </cell>
          <cell r="G109" t="str">
            <v>автолига.рф</v>
          </cell>
          <cell r="H109">
            <v>23850</v>
          </cell>
          <cell r="I109">
            <v>3323</v>
          </cell>
          <cell r="J109">
            <v>3273.1549999999997</v>
          </cell>
        </row>
        <row r="110">
          <cell r="A110" t="str">
            <v>866122P500</v>
          </cell>
          <cell r="B110" t="str">
            <v>Панель бампера нижняя</v>
          </cell>
          <cell r="C110" t="str">
            <v>HYUNDAI/KIA</v>
          </cell>
          <cell r="D110">
            <v>1</v>
          </cell>
          <cell r="E110">
            <v>19993.53</v>
          </cell>
          <cell r="G110" t="str">
            <v>tatparts.ru</v>
          </cell>
          <cell r="H110">
            <v>23737</v>
          </cell>
          <cell r="I110">
            <v>9184</v>
          </cell>
          <cell r="J110">
            <v>9046.24</v>
          </cell>
        </row>
        <row r="111">
          <cell r="A111" t="str">
            <v>MZ331345</v>
          </cell>
          <cell r="B111" t="str">
            <v>НАКЛАДКА ЗАДНЕГО БАМПЕРА НИЖНЯЯ</v>
          </cell>
          <cell r="C111" t="str">
            <v>MITSUBISHI</v>
          </cell>
          <cell r="D111">
            <v>2</v>
          </cell>
          <cell r="E111">
            <v>21000</v>
          </cell>
          <cell r="G111" t="str">
            <v>автолига.рф</v>
          </cell>
          <cell r="H111">
            <v>23042</v>
          </cell>
          <cell r="I111">
            <v>3886</v>
          </cell>
          <cell r="J111">
            <v>3827.71</v>
          </cell>
        </row>
        <row r="112">
          <cell r="A112" t="str">
            <v>MZ331345</v>
          </cell>
          <cell r="B112" t="str">
            <v>НАКЛАДКА ЗАДНЕГО БАМПЕРА НИЖНЯЯ</v>
          </cell>
          <cell r="C112" t="str">
            <v>MITSUBISHI</v>
          </cell>
          <cell r="D112">
            <v>1</v>
          </cell>
          <cell r="E112">
            <v>21000</v>
          </cell>
          <cell r="G112" t="str">
            <v>автолига.рф</v>
          </cell>
          <cell r="H112">
            <v>23042</v>
          </cell>
          <cell r="I112">
            <v>3886</v>
          </cell>
          <cell r="J112">
            <v>3827.71</v>
          </cell>
        </row>
        <row r="113">
          <cell r="A113" t="str">
            <v>57R845011A NVB</v>
          </cell>
          <cell r="B113" t="str">
            <v>Стекло ветровое</v>
          </cell>
          <cell r="C113" t="str">
            <v>VAG</v>
          </cell>
          <cell r="D113">
            <v>2</v>
          </cell>
          <cell r="E113">
            <v>18764.25</v>
          </cell>
          <cell r="G113" t="str">
            <v>автолига.рф</v>
          </cell>
          <cell r="H113">
            <v>22745</v>
          </cell>
          <cell r="I113">
            <v>19050</v>
          </cell>
          <cell r="J113">
            <v>18764.25</v>
          </cell>
        </row>
        <row r="114">
          <cell r="A114" t="str">
            <v>641014H000</v>
          </cell>
          <cell r="B114" t="str">
            <v>Рамка радиатора</v>
          </cell>
          <cell r="C114" t="str">
            <v>HYUNDAI/KIA</v>
          </cell>
          <cell r="D114">
            <v>1</v>
          </cell>
          <cell r="E114">
            <v>27774.665550000002</v>
          </cell>
          <cell r="G114" t="str">
            <v>tatparts.ru</v>
          </cell>
          <cell r="H114">
            <v>22429</v>
          </cell>
          <cell r="I114">
            <v>12454</v>
          </cell>
          <cell r="J114">
            <v>12267.19</v>
          </cell>
        </row>
        <row r="115">
          <cell r="A115" t="str">
            <v>8158033340</v>
          </cell>
          <cell r="B115" t="str">
            <v>Фонарь задний правый внутренний</v>
          </cell>
          <cell r="C115" t="str">
            <v>TOYOTA</v>
          </cell>
          <cell r="D115">
            <v>1</v>
          </cell>
          <cell r="E115">
            <v>13110</v>
          </cell>
          <cell r="G115" t="str">
            <v>автолига.рф</v>
          </cell>
          <cell r="H115">
            <v>22412</v>
          </cell>
          <cell r="I115">
            <v>12995</v>
          </cell>
          <cell r="J115">
            <v>12800.075000000001</v>
          </cell>
        </row>
        <row r="116">
          <cell r="A116" t="str">
            <v>LR061729</v>
          </cell>
          <cell r="B116" t="str">
            <v>Наружная арка зад. левая</v>
          </cell>
          <cell r="C116" t="str">
            <v>LANDROVER</v>
          </cell>
          <cell r="D116">
            <v>1</v>
          </cell>
          <cell r="E116">
            <v>20500</v>
          </cell>
          <cell r="G116" t="str">
            <v>автолига.рф</v>
          </cell>
          <cell r="H116">
            <v>22197</v>
          </cell>
          <cell r="I116">
            <v>2968</v>
          </cell>
          <cell r="J116">
            <v>2923.48</v>
          </cell>
        </row>
        <row r="117">
          <cell r="A117" t="str">
            <v>A00052769DY</v>
          </cell>
          <cell r="B117" t="str">
            <v>Крыло переднее левое U5</v>
          </cell>
          <cell r="C117" t="str">
            <v>BAIC</v>
          </cell>
          <cell r="D117">
            <v>1</v>
          </cell>
          <cell r="E117">
            <v>17327.134999999998</v>
          </cell>
          <cell r="G117" t="str">
            <v>автолига.рф</v>
          </cell>
          <cell r="H117">
            <v>22159</v>
          </cell>
          <cell r="I117">
            <v>17591</v>
          </cell>
          <cell r="J117">
            <v>17327.134999999998</v>
          </cell>
        </row>
        <row r="118">
          <cell r="A118" t="str">
            <v>756500470R</v>
          </cell>
          <cell r="B118" t="str">
            <v>Усилитель пола кузова зад (мет)</v>
          </cell>
          <cell r="C118" t="str">
            <v>RENAULT</v>
          </cell>
          <cell r="D118">
            <v>1</v>
          </cell>
          <cell r="E118">
            <v>15000</v>
          </cell>
          <cell r="G118" t="str">
            <v>автолига.рф</v>
          </cell>
          <cell r="H118">
            <v>22047</v>
          </cell>
          <cell r="I118">
            <v>3194</v>
          </cell>
          <cell r="J118">
            <v>3146.09</v>
          </cell>
        </row>
        <row r="119">
          <cell r="A119" t="str">
            <v>738538245R</v>
          </cell>
          <cell r="B119" t="str">
            <v>Молдинг крыши лев</v>
          </cell>
          <cell r="C119" t="str">
            <v>RENAULT</v>
          </cell>
          <cell r="D119">
            <v>1</v>
          </cell>
          <cell r="E119">
            <v>15000</v>
          </cell>
          <cell r="G119" t="str">
            <v>автолига.рф</v>
          </cell>
          <cell r="H119">
            <v>21887</v>
          </cell>
          <cell r="I119">
            <v>1058</v>
          </cell>
          <cell r="J119">
            <v>1042.1299999999999</v>
          </cell>
        </row>
        <row r="120">
          <cell r="A120" t="str">
            <v>51777475603</v>
          </cell>
          <cell r="B120" t="str">
            <v>Облицовка порога грунт. Л</v>
          </cell>
          <cell r="C120" t="str">
            <v>BMW</v>
          </cell>
          <cell r="D120">
            <v>1</v>
          </cell>
          <cell r="E120">
            <v>27046.7801</v>
          </cell>
          <cell r="G120" t="str">
            <v>tatparts.ru</v>
          </cell>
          <cell r="H120">
            <v>21842</v>
          </cell>
          <cell r="I120">
            <v>12212</v>
          </cell>
          <cell r="J120">
            <v>12028.82</v>
          </cell>
        </row>
        <row r="121">
          <cell r="A121" t="str">
            <v>727124348R</v>
          </cell>
          <cell r="B121" t="str">
            <v>Стекло лобовое</v>
          </cell>
          <cell r="C121" t="str">
            <v>RENAULT</v>
          </cell>
          <cell r="D121">
            <v>1</v>
          </cell>
          <cell r="E121">
            <v>15500</v>
          </cell>
          <cell r="G121" t="str">
            <v>автолига.рф</v>
          </cell>
          <cell r="H121">
            <v>21789</v>
          </cell>
          <cell r="I121">
            <v>8304</v>
          </cell>
          <cell r="J121">
            <v>8179.44</v>
          </cell>
        </row>
        <row r="122">
          <cell r="A122" t="str">
            <v>727124348R</v>
          </cell>
          <cell r="B122" t="str">
            <v>Стекло лобовое</v>
          </cell>
          <cell r="C122" t="str">
            <v>RENAULT</v>
          </cell>
          <cell r="D122">
            <v>1</v>
          </cell>
          <cell r="E122">
            <v>15500</v>
          </cell>
          <cell r="G122" t="str">
            <v>автолига.рф</v>
          </cell>
          <cell r="H122">
            <v>15637</v>
          </cell>
          <cell r="I122">
            <v>8304</v>
          </cell>
          <cell r="J122">
            <v>8179.44</v>
          </cell>
        </row>
        <row r="123">
          <cell r="A123" t="str">
            <v>92207D7000</v>
          </cell>
          <cell r="B123" t="str">
            <v>ФАРА ДХО</v>
          </cell>
          <cell r="C123" t="str">
            <v>HYUNDAI/KIA</v>
          </cell>
          <cell r="D123">
            <v>1</v>
          </cell>
          <cell r="E123">
            <v>18327.895</v>
          </cell>
          <cell r="G123" t="str">
            <v>tatparts.ru</v>
          </cell>
          <cell r="H123">
            <v>21736</v>
          </cell>
          <cell r="I123">
            <v>4391</v>
          </cell>
          <cell r="J123">
            <v>4325.1350000000002</v>
          </cell>
        </row>
        <row r="124">
          <cell r="A124" t="str">
            <v>EH6251160H</v>
          </cell>
          <cell r="B124" t="str">
            <v>ФОНАРЬ ЗАДНИЙ ЛЕВЫЙ MOD</v>
          </cell>
          <cell r="C124" t="str">
            <v>Mazda</v>
          </cell>
          <cell r="D124">
            <v>1</v>
          </cell>
          <cell r="E124">
            <v>21500</v>
          </cell>
          <cell r="G124" t="str">
            <v>автолига.рф</v>
          </cell>
          <cell r="H124">
            <v>21573</v>
          </cell>
          <cell r="I124">
            <v>13147</v>
          </cell>
          <cell r="J124">
            <v>12949.795</v>
          </cell>
        </row>
        <row r="125">
          <cell r="A125" t="str">
            <v>5NB857705A RAA</v>
          </cell>
          <cell r="B125" t="str">
            <v>Ремень безопасности передний левый</v>
          </cell>
          <cell r="C125" t="str">
            <v>VAG</v>
          </cell>
          <cell r="D125">
            <v>2</v>
          </cell>
          <cell r="E125">
            <v>9950</v>
          </cell>
          <cell r="G125" t="str">
            <v>tatparts.ru</v>
          </cell>
          <cell r="H125">
            <v>21318</v>
          </cell>
          <cell r="I125">
            <v>3316</v>
          </cell>
          <cell r="J125">
            <v>3266.2599999999998</v>
          </cell>
        </row>
        <row r="126">
          <cell r="A126" t="str">
            <v>92401R0100</v>
          </cell>
          <cell r="B126" t="str">
            <v>Фонарь зад лев</v>
          </cell>
          <cell r="C126" t="str">
            <v>HYUNDAI/KIA</v>
          </cell>
          <cell r="D126">
            <v>1</v>
          </cell>
          <cell r="E126">
            <v>17752.654999999999</v>
          </cell>
          <cell r="G126" t="str">
            <v>tatparts.ru</v>
          </cell>
          <cell r="H126">
            <v>20708</v>
          </cell>
          <cell r="I126">
            <v>12465</v>
          </cell>
          <cell r="J126">
            <v>12278.025</v>
          </cell>
        </row>
        <row r="127">
          <cell r="A127" t="str">
            <v>86350H0500</v>
          </cell>
          <cell r="B127" t="str">
            <v>Решетка радиатора</v>
          </cell>
          <cell r="C127" t="str">
            <v>HYUNDAI/KIA</v>
          </cell>
          <cell r="D127">
            <v>1</v>
          </cell>
          <cell r="E127">
            <v>16815</v>
          </cell>
          <cell r="G127" t="str">
            <v>автолига.рф</v>
          </cell>
          <cell r="H127">
            <v>20563</v>
          </cell>
          <cell r="I127">
            <v>14602</v>
          </cell>
          <cell r="J127">
            <v>14382.97</v>
          </cell>
        </row>
        <row r="128">
          <cell r="A128" t="str">
            <v>86350H0500</v>
          </cell>
          <cell r="B128" t="str">
            <v>Решетка радиатора</v>
          </cell>
          <cell r="C128" t="str">
            <v>HYUNDAI/KIA</v>
          </cell>
          <cell r="D128">
            <v>1</v>
          </cell>
          <cell r="E128">
            <v>16815</v>
          </cell>
          <cell r="G128" t="str">
            <v>автолига.рф</v>
          </cell>
          <cell r="H128">
            <v>20563</v>
          </cell>
          <cell r="I128">
            <v>14602</v>
          </cell>
          <cell r="J128">
            <v>14382.97</v>
          </cell>
        </row>
        <row r="129">
          <cell r="A129" t="str">
            <v>6911D672</v>
          </cell>
          <cell r="B129" t="str">
            <v>НАБИВКА ПОДУШКИ ПЕРЕДНЕГО ПРАВОГО СИДЕНЬЯ</v>
          </cell>
          <cell r="C129" t="str">
            <v>MITSUBISHI</v>
          </cell>
          <cell r="D129">
            <v>1</v>
          </cell>
          <cell r="E129">
            <v>10500</v>
          </cell>
          <cell r="G129" t="str">
            <v>автолига.рф</v>
          </cell>
          <cell r="H129">
            <v>20341</v>
          </cell>
          <cell r="I129">
            <v>10429</v>
          </cell>
          <cell r="J129">
            <v>10272.565000000001</v>
          </cell>
        </row>
        <row r="130">
          <cell r="A130" t="str">
            <v>6442933020</v>
          </cell>
          <cell r="B130" t="str">
            <v>ОБШИВКА БАГАЖНИКА</v>
          </cell>
          <cell r="C130" t="str">
            <v>TOYOTA</v>
          </cell>
          <cell r="D130">
            <v>1</v>
          </cell>
          <cell r="E130">
            <v>13005</v>
          </cell>
          <cell r="G130" t="str">
            <v>tatparts.ru</v>
          </cell>
          <cell r="H130">
            <v>20281</v>
          </cell>
          <cell r="I130">
            <v>13152</v>
          </cell>
          <cell r="J130">
            <v>12954.72</v>
          </cell>
        </row>
        <row r="131">
          <cell r="A131" t="str">
            <v>LR144891</v>
          </cell>
          <cell r="B131" t="str">
            <v>Наружняя ручка двери RH зад Velar</v>
          </cell>
          <cell r="C131" t="str">
            <v>LANDROVER</v>
          </cell>
          <cell r="D131">
            <v>1</v>
          </cell>
          <cell r="E131">
            <v>18918.895</v>
          </cell>
          <cell r="G131" t="str">
            <v>автолига.рф</v>
          </cell>
          <cell r="H131">
            <v>19732</v>
          </cell>
          <cell r="I131">
            <v>19207</v>
          </cell>
          <cell r="J131">
            <v>18918.895</v>
          </cell>
        </row>
        <row r="132">
          <cell r="A132" t="str">
            <v>51137454887</v>
          </cell>
          <cell r="B132" t="str">
            <v>Решетка передняя</v>
          </cell>
          <cell r="C132" t="str">
            <v>BMW</v>
          </cell>
          <cell r="D132">
            <v>1</v>
          </cell>
          <cell r="E132">
            <v>14700</v>
          </cell>
          <cell r="G132" t="str">
            <v>автолига.рф</v>
          </cell>
          <cell r="H132">
            <v>19282</v>
          </cell>
          <cell r="I132">
            <v>14788</v>
          </cell>
          <cell r="J132">
            <v>14566.18</v>
          </cell>
        </row>
        <row r="133">
          <cell r="A133" t="str">
            <v>6113133100</v>
          </cell>
          <cell r="B133" t="str">
            <v>СТОЙКА КУЗОВА CAMRY</v>
          </cell>
          <cell r="C133" t="str">
            <v>TOYOTA</v>
          </cell>
          <cell r="D133">
            <v>1</v>
          </cell>
          <cell r="E133">
            <v>17650</v>
          </cell>
          <cell r="G133" t="str">
            <v>автолига.рф</v>
          </cell>
          <cell r="H133">
            <v>19202</v>
          </cell>
          <cell r="I133">
            <v>17851</v>
          </cell>
          <cell r="J133">
            <v>17583.235000000001</v>
          </cell>
        </row>
        <row r="134">
          <cell r="A134" t="str">
            <v>7561160111B0</v>
          </cell>
          <cell r="B134" t="str">
            <v>молдинг</v>
          </cell>
          <cell r="C134" t="str">
            <v>TOYOTA</v>
          </cell>
          <cell r="D134">
            <v>1</v>
          </cell>
          <cell r="E134">
            <v>15810</v>
          </cell>
          <cell r="G134" t="str">
            <v>автолига.рф</v>
          </cell>
          <cell r="H134">
            <v>18920</v>
          </cell>
          <cell r="I134">
            <v>15949</v>
          </cell>
          <cell r="J134">
            <v>15709.764999999999</v>
          </cell>
        </row>
        <row r="135">
          <cell r="A135" t="str">
            <v>2GL945095A</v>
          </cell>
          <cell r="B135" t="str">
            <v>Фонарь задний левый наружний</v>
          </cell>
          <cell r="C135" t="str">
            <v>VAG</v>
          </cell>
          <cell r="D135">
            <v>1</v>
          </cell>
          <cell r="E135">
            <v>5784</v>
          </cell>
          <cell r="G135" t="str">
            <v>автолига.рф</v>
          </cell>
          <cell r="H135">
            <v>18678</v>
          </cell>
          <cell r="I135">
            <v>2826</v>
          </cell>
          <cell r="J135">
            <v>2783.61</v>
          </cell>
        </row>
        <row r="136">
          <cell r="A136" t="str">
            <v>7132207D10</v>
          </cell>
          <cell r="B136" t="str">
            <v>Панель правого порога кузова</v>
          </cell>
          <cell r="C136" t="str">
            <v>HYUNDAI/KIA</v>
          </cell>
          <cell r="D136">
            <v>1</v>
          </cell>
          <cell r="E136">
            <v>18300</v>
          </cell>
          <cell r="G136" t="str">
            <v>автолига.рф</v>
          </cell>
          <cell r="H136">
            <v>18567</v>
          </cell>
          <cell r="I136">
            <v>18566</v>
          </cell>
          <cell r="J136">
            <v>18287.509999999998</v>
          </cell>
        </row>
        <row r="137">
          <cell r="A137" t="str">
            <v>865112WAA0</v>
          </cell>
          <cell r="B137" t="str">
            <v>Бампер передний</v>
          </cell>
          <cell r="C137" t="str">
            <v>HYUNDAI/KIA</v>
          </cell>
          <cell r="D137">
            <v>1</v>
          </cell>
          <cell r="E137">
            <v>16498.75</v>
          </cell>
          <cell r="G137" t="str">
            <v>автолига.рф</v>
          </cell>
          <cell r="H137">
            <v>18205</v>
          </cell>
          <cell r="I137">
            <v>16334</v>
          </cell>
          <cell r="J137">
            <v>16088.99</v>
          </cell>
        </row>
        <row r="138">
          <cell r="A138" t="str">
            <v>51119853927</v>
          </cell>
          <cell r="B138" t="str">
            <v>Решетка переднего бампера</v>
          </cell>
          <cell r="C138" t="str">
            <v>BMW</v>
          </cell>
          <cell r="D138">
            <v>1</v>
          </cell>
          <cell r="E138">
            <v>13104</v>
          </cell>
          <cell r="G138" t="str">
            <v>автолига.рф</v>
          </cell>
          <cell r="H138">
            <v>18198</v>
          </cell>
          <cell r="I138">
            <v>13202</v>
          </cell>
          <cell r="J138">
            <v>13003.97</v>
          </cell>
        </row>
        <row r="139">
          <cell r="A139" t="str">
            <v>92207H0100</v>
          </cell>
          <cell r="B139" t="str">
            <v>Фонарь ДХО левый</v>
          </cell>
          <cell r="C139" t="str">
            <v>HYUNDAI/KIA</v>
          </cell>
          <cell r="D139">
            <v>1</v>
          </cell>
          <cell r="E139">
            <v>14682.41</v>
          </cell>
          <cell r="G139" t="str">
            <v>автолига.рф</v>
          </cell>
          <cell r="H139">
            <v>18094</v>
          </cell>
          <cell r="I139">
            <v>11953</v>
          </cell>
          <cell r="J139">
            <v>11773.705</v>
          </cell>
        </row>
        <row r="140">
          <cell r="A140" t="str">
            <v>963019236R</v>
          </cell>
          <cell r="B140" t="str">
            <v>Зеркало задн вида прав (электр)</v>
          </cell>
          <cell r="C140" t="str">
            <v>RENAULT</v>
          </cell>
          <cell r="D140">
            <v>1</v>
          </cell>
          <cell r="E140">
            <v>11200</v>
          </cell>
          <cell r="G140" t="str">
            <v>автолига.рф</v>
          </cell>
          <cell r="H140">
            <v>18088</v>
          </cell>
          <cell r="I140">
            <v>11098</v>
          </cell>
          <cell r="J140">
            <v>10931.53</v>
          </cell>
        </row>
        <row r="141">
          <cell r="A141" t="str">
            <v>963019236R</v>
          </cell>
          <cell r="B141" t="str">
            <v>Зеркало задн вида прав (электр)</v>
          </cell>
          <cell r="C141" t="str">
            <v>RENAULT</v>
          </cell>
          <cell r="D141">
            <v>1</v>
          </cell>
          <cell r="E141">
            <v>11200</v>
          </cell>
          <cell r="G141" t="str">
            <v>автолига.рф</v>
          </cell>
          <cell r="H141">
            <v>18088</v>
          </cell>
          <cell r="I141">
            <v>11098</v>
          </cell>
          <cell r="J141">
            <v>10931.53</v>
          </cell>
        </row>
        <row r="142">
          <cell r="A142" t="str">
            <v>963019236R</v>
          </cell>
          <cell r="B142" t="str">
            <v>Зеркало задн вида прав (электр)</v>
          </cell>
          <cell r="C142" t="str">
            <v>RENAULT</v>
          </cell>
          <cell r="D142">
            <v>1</v>
          </cell>
          <cell r="E142">
            <v>11200</v>
          </cell>
          <cell r="G142" t="str">
            <v>автолига.рф</v>
          </cell>
          <cell r="H142">
            <v>18088</v>
          </cell>
          <cell r="I142">
            <v>11098</v>
          </cell>
          <cell r="J142">
            <v>10931.53</v>
          </cell>
        </row>
        <row r="143">
          <cell r="A143" t="str">
            <v>963019236R</v>
          </cell>
          <cell r="B143" t="str">
            <v>Зеркало задн вида прав (электр)</v>
          </cell>
          <cell r="C143" t="str">
            <v>RENAULT</v>
          </cell>
          <cell r="D143">
            <v>1</v>
          </cell>
          <cell r="E143">
            <v>11200</v>
          </cell>
          <cell r="G143" t="str">
            <v>автолига.рф</v>
          </cell>
          <cell r="H143">
            <v>18088</v>
          </cell>
          <cell r="I143">
            <v>11098</v>
          </cell>
          <cell r="J143">
            <v>10931.53</v>
          </cell>
        </row>
        <row r="144">
          <cell r="A144" t="str">
            <v>963019236R</v>
          </cell>
          <cell r="B144" t="str">
            <v>Зеркало задн вида прав (электр)</v>
          </cell>
          <cell r="C144" t="str">
            <v>RENAULT</v>
          </cell>
          <cell r="D144">
            <v>1</v>
          </cell>
          <cell r="E144">
            <v>11200</v>
          </cell>
          <cell r="G144" t="str">
            <v>автолига.рф</v>
          </cell>
          <cell r="H144">
            <v>18088</v>
          </cell>
          <cell r="I144">
            <v>11098</v>
          </cell>
          <cell r="J144">
            <v>10931.53</v>
          </cell>
        </row>
        <row r="145">
          <cell r="A145" t="str">
            <v>5509100XKQ10A</v>
          </cell>
          <cell r="B145" t="str">
            <v>Решетка радиатора Tech Plus Haval F7 I</v>
          </cell>
          <cell r="C145" t="str">
            <v>HAVAL</v>
          </cell>
          <cell r="D145">
            <v>3</v>
          </cell>
          <cell r="E145">
            <v>10500</v>
          </cell>
          <cell r="G145" t="str">
            <v>tatparts.ru</v>
          </cell>
          <cell r="H145">
            <v>17942</v>
          </cell>
          <cell r="I145">
            <v>9140</v>
          </cell>
          <cell r="J145">
            <v>9002.9</v>
          </cell>
        </row>
        <row r="146">
          <cell r="A146" t="str">
            <v>6102A909</v>
          </cell>
          <cell r="B146" t="str">
            <v xml:space="preserve">Стекло лобовое </v>
          </cell>
          <cell r="C146" t="str">
            <v>MITSUBISHI</v>
          </cell>
          <cell r="D146">
            <v>1</v>
          </cell>
          <cell r="E146">
            <v>7144</v>
          </cell>
          <cell r="G146" t="str">
            <v>автолига.рф</v>
          </cell>
          <cell r="H146">
            <v>17827</v>
          </cell>
          <cell r="I146">
            <v>7144</v>
          </cell>
          <cell r="J146">
            <v>7036.84</v>
          </cell>
        </row>
        <row r="147">
          <cell r="A147" t="str">
            <v>6102A909</v>
          </cell>
          <cell r="B147" t="str">
            <v xml:space="preserve">Стекло лобовое </v>
          </cell>
          <cell r="C147" t="str">
            <v>MITSUBISHI</v>
          </cell>
          <cell r="D147">
            <v>1</v>
          </cell>
          <cell r="E147">
            <v>7144</v>
          </cell>
          <cell r="G147" t="str">
            <v>автолига.рф</v>
          </cell>
          <cell r="H147">
            <v>17827</v>
          </cell>
          <cell r="I147">
            <v>7144</v>
          </cell>
          <cell r="J147">
            <v>7036.84</v>
          </cell>
        </row>
        <row r="148">
          <cell r="A148" t="str">
            <v>6102A909</v>
          </cell>
          <cell r="B148" t="str">
            <v xml:space="preserve">Стекло лобовое </v>
          </cell>
          <cell r="C148" t="str">
            <v>MITSUBISHI</v>
          </cell>
          <cell r="D148">
            <v>1</v>
          </cell>
          <cell r="E148">
            <v>7144</v>
          </cell>
          <cell r="G148" t="str">
            <v>автолига.рф</v>
          </cell>
          <cell r="H148">
            <v>17827</v>
          </cell>
          <cell r="I148">
            <v>7144</v>
          </cell>
          <cell r="J148">
            <v>7036.84</v>
          </cell>
        </row>
        <row r="149">
          <cell r="A149" t="str">
            <v>B016690</v>
          </cell>
          <cell r="B149" t="str">
            <v>Рамка радиатора ДВС</v>
          </cell>
          <cell r="C149" t="str">
            <v>DONGFENG</v>
          </cell>
          <cell r="D149">
            <v>1</v>
          </cell>
          <cell r="E149">
            <v>9897.2800000000007</v>
          </cell>
          <cell r="G149" t="str">
            <v>tatparts.ru</v>
          </cell>
          <cell r="H149">
            <v>17823</v>
          </cell>
          <cell r="I149">
            <v>9920</v>
          </cell>
          <cell r="J149">
            <v>9771.2000000000007</v>
          </cell>
        </row>
        <row r="150">
          <cell r="A150" t="str">
            <v>92401S1500</v>
          </cell>
          <cell r="B150" t="str">
            <v>Фонарь левый</v>
          </cell>
          <cell r="C150" t="str">
            <v>HYUNDAI/KIA</v>
          </cell>
          <cell r="D150">
            <v>1</v>
          </cell>
          <cell r="E150">
            <v>8800</v>
          </cell>
          <cell r="G150" t="str">
            <v>автолига.рф</v>
          </cell>
          <cell r="H150">
            <v>17708</v>
          </cell>
          <cell r="I150">
            <v>8913</v>
          </cell>
          <cell r="J150">
            <v>8779.3050000000003</v>
          </cell>
        </row>
        <row r="151">
          <cell r="A151" t="str">
            <v>92402S1500</v>
          </cell>
          <cell r="B151" t="str">
            <v>Фонарь правый наружный</v>
          </cell>
          <cell r="C151" t="str">
            <v>HYUNDAI/KIA</v>
          </cell>
          <cell r="D151">
            <v>1</v>
          </cell>
          <cell r="E151">
            <v>6500</v>
          </cell>
          <cell r="G151" t="str">
            <v>автолига.рф</v>
          </cell>
          <cell r="H151">
            <v>17708</v>
          </cell>
          <cell r="I151">
            <v>4527</v>
          </cell>
          <cell r="J151">
            <v>4459.0950000000003</v>
          </cell>
        </row>
        <row r="152">
          <cell r="A152" t="str">
            <v>5509113XKQ00A8D</v>
          </cell>
          <cell r="B152" t="str">
            <v>Решетка радиатора</v>
          </cell>
          <cell r="C152" t="str">
            <v>HAVAL</v>
          </cell>
          <cell r="D152">
            <v>1</v>
          </cell>
          <cell r="E152">
            <v>6500</v>
          </cell>
          <cell r="G152" t="str">
            <v>автолига.рф</v>
          </cell>
          <cell r="H152">
            <v>17424</v>
          </cell>
          <cell r="I152">
            <v>5172</v>
          </cell>
          <cell r="J152">
            <v>5094.42</v>
          </cell>
        </row>
        <row r="153">
          <cell r="A153" t="str">
            <v>5NA854940AFRYP</v>
          </cell>
          <cell r="B153" t="str">
            <v>Накладка двери передняя правая</v>
          </cell>
          <cell r="C153" t="str">
            <v>VAG</v>
          </cell>
          <cell r="D153">
            <v>1</v>
          </cell>
          <cell r="E153">
            <v>6500</v>
          </cell>
          <cell r="G153" t="str">
            <v>автолига.рф</v>
          </cell>
          <cell r="H153">
            <v>16745</v>
          </cell>
          <cell r="I153">
            <v>5587</v>
          </cell>
          <cell r="J153">
            <v>5503.1949999999997</v>
          </cell>
        </row>
        <row r="154">
          <cell r="A154" t="str">
            <v>8424AGSGNP</v>
          </cell>
          <cell r="B154" t="str">
            <v>Автостекло лобовое toyota hi-lux/ fortuner 2016- с</v>
          </cell>
          <cell r="C154" t="str">
            <v>AGC</v>
          </cell>
          <cell r="D154">
            <v>1</v>
          </cell>
          <cell r="E154">
            <v>12900</v>
          </cell>
          <cell r="G154" t="str">
            <v>автолига.рф</v>
          </cell>
          <cell r="H154">
            <v>16649</v>
          </cell>
          <cell r="I154">
            <v>12930</v>
          </cell>
          <cell r="J154">
            <v>12736.05</v>
          </cell>
        </row>
        <row r="155">
          <cell r="A155" t="str">
            <v>5817A261</v>
          </cell>
          <cell r="B155" t="str">
            <v>НАКЛАДКА БАГАЖНОЙ ДВЕРИ</v>
          </cell>
          <cell r="C155" t="str">
            <v>MITSUBISHI</v>
          </cell>
          <cell r="D155">
            <v>1</v>
          </cell>
          <cell r="E155">
            <v>4652.1549999999997</v>
          </cell>
          <cell r="G155" t="str">
            <v>tatparts.ru</v>
          </cell>
          <cell r="H155">
            <v>16524</v>
          </cell>
          <cell r="I155">
            <v>3765</v>
          </cell>
          <cell r="J155">
            <v>3708.5250000000001</v>
          </cell>
        </row>
        <row r="156">
          <cell r="A156" t="str">
            <v>6405A197</v>
          </cell>
          <cell r="B156" t="str">
            <v>НАСТАВКА ПЕРЕДНЕГО БАМПЕРА</v>
          </cell>
          <cell r="C156" t="str">
            <v>MITSUBISHI</v>
          </cell>
          <cell r="D156">
            <v>1</v>
          </cell>
          <cell r="E156">
            <v>12300</v>
          </cell>
          <cell r="G156" t="str">
            <v>автолига.рф</v>
          </cell>
          <cell r="H156">
            <v>16521</v>
          </cell>
          <cell r="I156">
            <v>12386</v>
          </cell>
          <cell r="J156">
            <v>12200.21</v>
          </cell>
        </row>
        <row r="157">
          <cell r="A157" t="str">
            <v>803312388R</v>
          </cell>
          <cell r="B157" t="str">
            <v>Уплотнитель стекла двери пер лев</v>
          </cell>
          <cell r="C157" t="str">
            <v>RENAULT</v>
          </cell>
          <cell r="D157">
            <v>4</v>
          </cell>
          <cell r="E157">
            <v>16100</v>
          </cell>
          <cell r="G157" t="str">
            <v>автолига.рф</v>
          </cell>
          <cell r="H157">
            <v>16521</v>
          </cell>
          <cell r="I157">
            <v>10424</v>
          </cell>
          <cell r="J157">
            <v>10267.64</v>
          </cell>
        </row>
        <row r="158">
          <cell r="A158" t="str">
            <v>92403H5100</v>
          </cell>
          <cell r="B158" t="str">
            <v>Фонарь лев. внутр.</v>
          </cell>
          <cell r="C158" t="str">
            <v>HYUNDAI/KIA</v>
          </cell>
          <cell r="D158">
            <v>1</v>
          </cell>
          <cell r="E158">
            <v>16050.574999999999</v>
          </cell>
          <cell r="G158" t="str">
            <v>автолига.рф</v>
          </cell>
          <cell r="H158">
            <v>16326</v>
          </cell>
          <cell r="I158">
            <v>16295</v>
          </cell>
          <cell r="J158">
            <v>16050.574999999999</v>
          </cell>
        </row>
        <row r="159">
          <cell r="A159" t="str">
            <v>623103110R</v>
          </cell>
          <cell r="B159" t="str">
            <v>Решетка радиатора</v>
          </cell>
          <cell r="C159" t="str">
            <v>RENAULT</v>
          </cell>
          <cell r="D159">
            <v>5</v>
          </cell>
          <cell r="E159">
            <v>15972</v>
          </cell>
          <cell r="G159" t="str">
            <v>автолига.рф</v>
          </cell>
          <cell r="H159">
            <v>16305</v>
          </cell>
          <cell r="I159">
            <v>4206</v>
          </cell>
          <cell r="J159">
            <v>4142.91</v>
          </cell>
        </row>
        <row r="160">
          <cell r="A160" t="str">
            <v>623103110R</v>
          </cell>
          <cell r="B160" t="str">
            <v>Решетка радиатора</v>
          </cell>
          <cell r="C160" t="str">
            <v>RENAULT</v>
          </cell>
          <cell r="D160">
            <v>1</v>
          </cell>
          <cell r="E160">
            <v>15972</v>
          </cell>
          <cell r="G160" t="str">
            <v>автолига.рф</v>
          </cell>
          <cell r="H160">
            <v>16314</v>
          </cell>
          <cell r="I160">
            <v>4206</v>
          </cell>
          <cell r="J160">
            <v>4142.91</v>
          </cell>
        </row>
        <row r="161">
          <cell r="A161" t="str">
            <v>51217348744</v>
          </cell>
          <cell r="B161" t="str">
            <v>Ручка двери краш.</v>
          </cell>
          <cell r="C161" t="str">
            <v>BMW</v>
          </cell>
          <cell r="D161">
            <v>1</v>
          </cell>
          <cell r="E161">
            <v>12200</v>
          </cell>
          <cell r="G161" t="str">
            <v>автолига.рф</v>
          </cell>
          <cell r="H161">
            <v>16160</v>
          </cell>
          <cell r="I161">
            <v>12251</v>
          </cell>
          <cell r="J161">
            <v>12067.235000000001</v>
          </cell>
        </row>
        <row r="162">
          <cell r="A162" t="str">
            <v>51138745726</v>
          </cell>
          <cell r="B162" t="str">
            <v>Декоративная планка крышки багажника</v>
          </cell>
          <cell r="C162" t="str">
            <v>BMW</v>
          </cell>
          <cell r="D162">
            <v>1</v>
          </cell>
          <cell r="E162">
            <v>10653.76</v>
          </cell>
          <cell r="G162" t="str">
            <v>tatparts.ru</v>
          </cell>
          <cell r="H162">
            <v>16128</v>
          </cell>
          <cell r="I162">
            <v>10385</v>
          </cell>
          <cell r="J162">
            <v>10229.225</v>
          </cell>
        </row>
        <row r="163">
          <cell r="A163" t="str">
            <v>602001192AADQJ</v>
          </cell>
          <cell r="B163" t="str">
            <v>ВЕРХНЯЯ ЧАСТЬ ЗАДНЕГО БАМПЕРА T1D/T1A</v>
          </cell>
          <cell r="C163" t="str">
            <v>CHERY</v>
          </cell>
          <cell r="D163">
            <v>1</v>
          </cell>
          <cell r="E163">
            <v>8500</v>
          </cell>
          <cell r="G163" t="str">
            <v>автолига.рф</v>
          </cell>
          <cell r="H163">
            <v>16039</v>
          </cell>
          <cell r="I163">
            <v>3833</v>
          </cell>
          <cell r="J163">
            <v>3775.5050000000001</v>
          </cell>
        </row>
        <row r="164">
          <cell r="A164" t="str">
            <v>G03-2803102-01AA</v>
          </cell>
          <cell r="B164" t="str">
            <v>Решетка радиатора нижняя</v>
          </cell>
          <cell r="C164" t="str">
            <v>KAIYI</v>
          </cell>
          <cell r="D164">
            <v>1</v>
          </cell>
          <cell r="E164">
            <v>9700</v>
          </cell>
          <cell r="G164" t="str">
            <v>tatparts.ru</v>
          </cell>
          <cell r="H164">
            <v>15930</v>
          </cell>
          <cell r="I164">
            <v>9749</v>
          </cell>
          <cell r="J164">
            <v>9602.7649999999994</v>
          </cell>
        </row>
        <row r="165">
          <cell r="A165" t="str">
            <v>G03-2803102-01AA</v>
          </cell>
          <cell r="B165" t="str">
            <v>Решетка радиатора нижняя</v>
          </cell>
          <cell r="C165" t="str">
            <v>KAIYI</v>
          </cell>
          <cell r="D165">
            <v>1</v>
          </cell>
          <cell r="E165">
            <v>9700</v>
          </cell>
          <cell r="G165" t="str">
            <v>tatparts.ru</v>
          </cell>
          <cell r="H165">
            <v>17842</v>
          </cell>
          <cell r="I165">
            <v>9749</v>
          </cell>
          <cell r="J165">
            <v>9602.7649999999994</v>
          </cell>
        </row>
        <row r="166">
          <cell r="A166" t="str">
            <v>5NA945308H</v>
          </cell>
          <cell r="B166" t="str">
            <v>Фонарь задний правый внутренний</v>
          </cell>
          <cell r="C166" t="str">
            <v>VAG</v>
          </cell>
          <cell r="D166">
            <v>2</v>
          </cell>
          <cell r="E166">
            <v>11419</v>
          </cell>
          <cell r="G166" t="str">
            <v>автолига.рф</v>
          </cell>
          <cell r="H166">
            <v>15914</v>
          </cell>
          <cell r="I166">
            <v>11564</v>
          </cell>
          <cell r="J166">
            <v>11390.539999999999</v>
          </cell>
        </row>
        <row r="167">
          <cell r="A167" t="str">
            <v>5NA945308H</v>
          </cell>
          <cell r="B167" t="str">
            <v>Фонарь задний правый внутренний</v>
          </cell>
          <cell r="C167" t="str">
            <v>VAG</v>
          </cell>
          <cell r="D167">
            <v>1</v>
          </cell>
          <cell r="E167">
            <v>11419</v>
          </cell>
          <cell r="G167" t="str">
            <v>автолига.рф</v>
          </cell>
          <cell r="H167">
            <v>15133</v>
          </cell>
          <cell r="I167">
            <v>11564</v>
          </cell>
          <cell r="J167">
            <v>11390.539999999999</v>
          </cell>
        </row>
        <row r="168">
          <cell r="A168" t="str">
            <v>6102B134</v>
          </cell>
          <cell r="B168" t="str">
            <v>Стекло лобовое</v>
          </cell>
          <cell r="C168" t="str">
            <v>MITSUBISHI</v>
          </cell>
          <cell r="D168">
            <v>1</v>
          </cell>
          <cell r="E168">
            <v>13300</v>
          </cell>
          <cell r="G168" t="str">
            <v>автолига.рф</v>
          </cell>
          <cell r="H168">
            <v>15724</v>
          </cell>
          <cell r="I168">
            <v>13438</v>
          </cell>
          <cell r="J168">
            <v>13236.43</v>
          </cell>
        </row>
        <row r="169">
          <cell r="A169" t="str">
            <v>6102B134</v>
          </cell>
          <cell r="B169" t="str">
            <v>Стекло лобовое</v>
          </cell>
          <cell r="C169" t="str">
            <v>MITSUBISHI</v>
          </cell>
          <cell r="D169">
            <v>1</v>
          </cell>
          <cell r="E169">
            <v>13300</v>
          </cell>
          <cell r="G169" t="str">
            <v>автолига.рф</v>
          </cell>
          <cell r="H169">
            <v>15724</v>
          </cell>
          <cell r="I169">
            <v>13438</v>
          </cell>
          <cell r="J169">
            <v>13236.43</v>
          </cell>
        </row>
        <row r="170">
          <cell r="A170" t="str">
            <v>668113292R</v>
          </cell>
          <cell r="B170" t="str">
            <v>Решетка вентиляции салона</v>
          </cell>
          <cell r="C170" t="str">
            <v>RENAULT</v>
          </cell>
          <cell r="D170">
            <v>1</v>
          </cell>
          <cell r="E170">
            <v>9600</v>
          </cell>
          <cell r="G170" t="str">
            <v>автолига.рф</v>
          </cell>
          <cell r="H170">
            <v>15578</v>
          </cell>
          <cell r="I170">
            <v>9661</v>
          </cell>
          <cell r="J170">
            <v>9516.0849999999991</v>
          </cell>
        </row>
        <row r="171">
          <cell r="A171" t="str">
            <v>8331A180</v>
          </cell>
          <cell r="B171" t="str">
            <v>ФОНАРЬ ЗАДНИЙ ПРАВЫЙ ГАБАРИТНЫЙ В СБОРЕ</v>
          </cell>
          <cell r="C171" t="str">
            <v>MITSUBISHI</v>
          </cell>
          <cell r="D171">
            <v>1</v>
          </cell>
          <cell r="E171">
            <v>13700</v>
          </cell>
          <cell r="G171" t="str">
            <v>tatparts.ru</v>
          </cell>
          <cell r="H171">
            <v>15433</v>
          </cell>
          <cell r="I171">
            <v>8976</v>
          </cell>
          <cell r="J171">
            <v>8841.36</v>
          </cell>
        </row>
        <row r="172">
          <cell r="A172" t="str">
            <v>8331A180</v>
          </cell>
          <cell r="B172" t="str">
            <v>ФОНАРЬ ЗАДНИЙ ПРАВЫЙ ГАБАРИТНЫЙ В СБОРЕ</v>
          </cell>
          <cell r="C172" t="str">
            <v>MITSUBISHI</v>
          </cell>
          <cell r="D172">
            <v>1</v>
          </cell>
          <cell r="E172">
            <v>13700</v>
          </cell>
          <cell r="G172" t="str">
            <v>tatparts.ru</v>
          </cell>
          <cell r="H172">
            <v>15433</v>
          </cell>
          <cell r="I172">
            <v>8976</v>
          </cell>
          <cell r="J172">
            <v>8841.36</v>
          </cell>
        </row>
        <row r="173">
          <cell r="A173" t="str">
            <v>92202Q5100</v>
          </cell>
          <cell r="B173" t="str">
            <v>Фара противотуманная правая</v>
          </cell>
          <cell r="C173" t="str">
            <v>HYUNDAI/KIA</v>
          </cell>
          <cell r="D173">
            <v>1</v>
          </cell>
          <cell r="E173">
            <v>12900</v>
          </cell>
          <cell r="G173" t="str">
            <v>автолига.рф</v>
          </cell>
          <cell r="H173">
            <v>15146</v>
          </cell>
          <cell r="I173">
            <v>12995</v>
          </cell>
          <cell r="J173">
            <v>12800.075000000001</v>
          </cell>
        </row>
        <row r="174">
          <cell r="A174" t="str">
            <v>VPLGP0442</v>
          </cell>
          <cell r="B174" t="str">
            <v>Электропроводка электропорогов с 20 MY</v>
          </cell>
          <cell r="C174" t="str">
            <v>LANDROVER</v>
          </cell>
          <cell r="D174">
            <v>3</v>
          </cell>
          <cell r="E174">
            <v>3415</v>
          </cell>
          <cell r="G174" t="str">
            <v>автолига.рф</v>
          </cell>
          <cell r="H174">
            <v>15129</v>
          </cell>
          <cell r="I174">
            <v>3365</v>
          </cell>
          <cell r="J174">
            <v>3314.5250000000001</v>
          </cell>
        </row>
        <row r="175">
          <cell r="A175" t="str">
            <v>VPLGP0442</v>
          </cell>
          <cell r="B175" t="str">
            <v>Электропроводка электропорогов с 20 MY</v>
          </cell>
          <cell r="C175" t="str">
            <v>LANDROVER</v>
          </cell>
          <cell r="D175">
            <v>1</v>
          </cell>
          <cell r="E175">
            <v>3415</v>
          </cell>
          <cell r="G175" t="str">
            <v>автолига.рф</v>
          </cell>
          <cell r="H175">
            <v>15129</v>
          </cell>
          <cell r="I175">
            <v>3365</v>
          </cell>
          <cell r="J175">
            <v>3314.5250000000001</v>
          </cell>
        </row>
        <row r="176">
          <cell r="A176" t="str">
            <v>VPLGP0442</v>
          </cell>
          <cell r="B176" t="str">
            <v>Электропроводка электропорогов с 20 MY</v>
          </cell>
          <cell r="C176" t="str">
            <v>LANDROVER</v>
          </cell>
          <cell r="D176">
            <v>4</v>
          </cell>
          <cell r="E176">
            <v>3415</v>
          </cell>
          <cell r="G176" t="str">
            <v>автолига.рф</v>
          </cell>
          <cell r="H176">
            <v>15129</v>
          </cell>
          <cell r="I176">
            <v>3365</v>
          </cell>
          <cell r="J176">
            <v>3314.5250000000001</v>
          </cell>
        </row>
        <row r="177">
          <cell r="A177" t="str">
            <v>VPLGP0442</v>
          </cell>
          <cell r="B177" t="str">
            <v>Электропроводка электропорогов с 20 MY</v>
          </cell>
          <cell r="C177" t="str">
            <v>LANDROVER</v>
          </cell>
          <cell r="D177">
            <v>4</v>
          </cell>
          <cell r="E177">
            <v>3415</v>
          </cell>
          <cell r="G177" t="str">
            <v>автолига.рф</v>
          </cell>
          <cell r="H177">
            <v>15129</v>
          </cell>
          <cell r="I177">
            <v>3365</v>
          </cell>
          <cell r="J177">
            <v>3314.5250000000001</v>
          </cell>
        </row>
        <row r="178">
          <cell r="A178" t="str">
            <v>92403S1500</v>
          </cell>
          <cell r="B178" t="str">
            <v>Фонарь задний внутренний левый</v>
          </cell>
          <cell r="C178" t="str">
            <v>HYUNDAI/KIA</v>
          </cell>
          <cell r="D178">
            <v>1</v>
          </cell>
          <cell r="E178">
            <v>8900</v>
          </cell>
          <cell r="G178" t="str">
            <v>автолига.рф</v>
          </cell>
          <cell r="H178">
            <v>14756</v>
          </cell>
          <cell r="I178">
            <v>6779</v>
          </cell>
          <cell r="J178">
            <v>6677.3149999999996</v>
          </cell>
        </row>
        <row r="179">
          <cell r="A179" t="str">
            <v>8158133320</v>
          </cell>
          <cell r="B179" t="str">
            <v>ФОНАРЬ ЗАДНИЙ  RH</v>
          </cell>
          <cell r="C179" t="str">
            <v>TOYOTA</v>
          </cell>
          <cell r="D179">
            <v>1</v>
          </cell>
          <cell r="E179">
            <v>10804</v>
          </cell>
          <cell r="G179" t="str">
            <v>автолига.рф</v>
          </cell>
          <cell r="H179">
            <v>14602</v>
          </cell>
          <cell r="I179">
            <v>10804</v>
          </cell>
          <cell r="J179">
            <v>10641.94</v>
          </cell>
        </row>
        <row r="180">
          <cell r="A180" t="str">
            <v>8158133320</v>
          </cell>
          <cell r="B180" t="str">
            <v>ФОНАРЬ ЗАДНИЙ  RH</v>
          </cell>
          <cell r="C180" t="str">
            <v>TOYOTA</v>
          </cell>
          <cell r="D180">
            <v>1</v>
          </cell>
          <cell r="E180">
            <v>10804</v>
          </cell>
          <cell r="G180" t="str">
            <v>автолига.рф</v>
          </cell>
          <cell r="H180">
            <v>15246</v>
          </cell>
          <cell r="I180">
            <v>10804</v>
          </cell>
          <cell r="J180">
            <v>10641.94</v>
          </cell>
        </row>
        <row r="181">
          <cell r="A181" t="str">
            <v>8158133320</v>
          </cell>
          <cell r="B181" t="str">
            <v>ФОНАРЬ ЗАДНИЙ  RH</v>
          </cell>
          <cell r="C181" t="str">
            <v>TOYOTA</v>
          </cell>
          <cell r="D181">
            <v>2</v>
          </cell>
          <cell r="E181">
            <v>10804</v>
          </cell>
          <cell r="G181" t="str">
            <v>автолига.рф</v>
          </cell>
          <cell r="H181">
            <v>15246</v>
          </cell>
          <cell r="I181">
            <v>10804</v>
          </cell>
          <cell r="J181">
            <v>10641.94</v>
          </cell>
        </row>
        <row r="182">
          <cell r="A182" t="str">
            <v>8158133320</v>
          </cell>
          <cell r="B182" t="str">
            <v>ФОНАРЬ ЗАДНИЙ  RH</v>
          </cell>
          <cell r="C182" t="str">
            <v>TOYOTA</v>
          </cell>
          <cell r="D182">
            <v>1</v>
          </cell>
          <cell r="E182">
            <v>10804</v>
          </cell>
          <cell r="G182" t="str">
            <v>автолига.рф</v>
          </cell>
          <cell r="H182">
            <v>15489</v>
          </cell>
          <cell r="I182">
            <v>10804</v>
          </cell>
          <cell r="J182">
            <v>10641.94</v>
          </cell>
        </row>
        <row r="183">
          <cell r="A183" t="str">
            <v>8158133320</v>
          </cell>
          <cell r="B183" t="str">
            <v>ФОНАРЬ ЗАДНИЙ  RH</v>
          </cell>
          <cell r="C183" t="str">
            <v>TOYOTA</v>
          </cell>
          <cell r="D183">
            <v>1</v>
          </cell>
          <cell r="E183">
            <v>10804</v>
          </cell>
          <cell r="G183" t="str">
            <v>автолига.рф</v>
          </cell>
          <cell r="H183">
            <v>15489</v>
          </cell>
          <cell r="I183">
            <v>10804</v>
          </cell>
          <cell r="J183">
            <v>10641.94</v>
          </cell>
        </row>
        <row r="184">
          <cell r="A184" t="str">
            <v>8158133320</v>
          </cell>
          <cell r="B184" t="str">
            <v>ФОНАРЬ ЗАДНИЙ  RH</v>
          </cell>
          <cell r="C184" t="str">
            <v>TOYOTA</v>
          </cell>
          <cell r="D184">
            <v>1</v>
          </cell>
          <cell r="E184">
            <v>10804</v>
          </cell>
          <cell r="G184" t="str">
            <v>автолига.рф</v>
          </cell>
          <cell r="H184">
            <v>15589</v>
          </cell>
          <cell r="I184">
            <v>10804</v>
          </cell>
          <cell r="J184">
            <v>10641.94</v>
          </cell>
        </row>
        <row r="185">
          <cell r="A185" t="str">
            <v>TY80401601L00</v>
          </cell>
          <cell r="B185" t="str">
            <v xml:space="preserve"> КРЫЛО ПЕРЕДНЕЕ, ЛЕВОЕ API, AP</v>
          </cell>
          <cell r="C185" t="str">
            <v>API</v>
          </cell>
          <cell r="D185">
            <v>1</v>
          </cell>
          <cell r="E185">
            <v>5831.2</v>
          </cell>
          <cell r="G185" t="str">
            <v>автолига.рф</v>
          </cell>
          <cell r="H185">
            <v>14381</v>
          </cell>
          <cell r="I185">
            <v>3182</v>
          </cell>
          <cell r="J185">
            <v>3134.27</v>
          </cell>
        </row>
        <row r="186">
          <cell r="A186" t="str">
            <v>808725725R</v>
          </cell>
          <cell r="B186" t="str">
            <v>Молдинг двери комп. Дастер (4шт.)</v>
          </cell>
          <cell r="C186" t="str">
            <v>RENAULT</v>
          </cell>
          <cell r="D186">
            <v>1</v>
          </cell>
          <cell r="E186">
            <v>14221</v>
          </cell>
          <cell r="G186" t="str">
            <v>tatparts.ru</v>
          </cell>
          <cell r="H186">
            <v>14221</v>
          </cell>
          <cell r="I186">
            <v>4564</v>
          </cell>
          <cell r="J186">
            <v>4495.54</v>
          </cell>
        </row>
        <row r="187">
          <cell r="A187" t="str">
            <v>51137424554</v>
          </cell>
          <cell r="B187" t="str">
            <v>Комплект передних декоративных планок</v>
          </cell>
          <cell r="C187" t="str">
            <v>MINI</v>
          </cell>
          <cell r="D187">
            <v>1</v>
          </cell>
          <cell r="E187">
            <v>3950</v>
          </cell>
          <cell r="G187" t="str">
            <v>tatparts.ru</v>
          </cell>
          <cell r="H187">
            <v>13741</v>
          </cell>
          <cell r="I187">
            <v>3485</v>
          </cell>
          <cell r="J187">
            <v>3432.7249999999999</v>
          </cell>
        </row>
        <row r="188">
          <cell r="A188" t="str">
            <v>803302016R</v>
          </cell>
          <cell r="B188" t="str">
            <v>Уплотнитель стекла двери пер пр (рез, мет)</v>
          </cell>
          <cell r="C188" t="str">
            <v>RENAULT</v>
          </cell>
          <cell r="D188">
            <v>1</v>
          </cell>
          <cell r="E188">
            <v>2759</v>
          </cell>
          <cell r="G188" t="str">
            <v>автолига.рф</v>
          </cell>
          <cell r="H188">
            <v>13685</v>
          </cell>
          <cell r="I188">
            <v>2699</v>
          </cell>
          <cell r="J188">
            <v>2658.5149999999999</v>
          </cell>
        </row>
        <row r="189">
          <cell r="A189" t="str">
            <v>602000444AABCE</v>
          </cell>
          <cell r="B189" t="str">
            <v>РЕШЕТКА РАДИАТОРА с отверстием для камеры</v>
          </cell>
          <cell r="C189" t="str">
            <v>CHERY</v>
          </cell>
          <cell r="D189">
            <v>1</v>
          </cell>
          <cell r="E189">
            <v>7503</v>
          </cell>
          <cell r="G189" t="str">
            <v>tatparts.ru</v>
          </cell>
          <cell r="H189">
            <v>13618</v>
          </cell>
          <cell r="I189">
            <v>7516</v>
          </cell>
          <cell r="J189">
            <v>7403.26</v>
          </cell>
        </row>
        <row r="190">
          <cell r="A190" t="str">
            <v>51138075665</v>
          </cell>
          <cell r="B190" t="str">
            <v>Передняя декоративная решетка</v>
          </cell>
          <cell r="C190" t="str">
            <v>BMW</v>
          </cell>
          <cell r="D190">
            <v>1</v>
          </cell>
          <cell r="E190">
            <v>11621</v>
          </cell>
          <cell r="G190" t="str">
            <v>автолига.рф</v>
          </cell>
          <cell r="H190">
            <v>12871</v>
          </cell>
          <cell r="I190">
            <v>11696</v>
          </cell>
          <cell r="J190">
            <v>11520.56</v>
          </cell>
        </row>
        <row r="191">
          <cell r="A191" t="str">
            <v>2456AGSGYMV</v>
          </cell>
          <cell r="B191" t="str">
            <v>Стекло ветровое зелено-серое +Д/Дождя+VIN BMW X6 2008- AGС</v>
          </cell>
          <cell r="C191" t="str">
            <v>AGC</v>
          </cell>
          <cell r="D191">
            <v>1</v>
          </cell>
          <cell r="E191">
            <v>11621</v>
          </cell>
          <cell r="G191" t="str">
            <v>автолига.рф</v>
          </cell>
          <cell r="H191">
            <v>12686</v>
          </cell>
          <cell r="I191">
            <v>11376</v>
          </cell>
          <cell r="J191">
            <v>11205.36</v>
          </cell>
        </row>
        <row r="192">
          <cell r="A192" t="str">
            <v>KB7W51P40D</v>
          </cell>
          <cell r="B192" t="str">
            <v>МОЛДИНГ НИЖНИЙ ПРАВЫЙ</v>
          </cell>
          <cell r="C192" t="str">
            <v>Mazda</v>
          </cell>
          <cell r="D192">
            <v>1</v>
          </cell>
          <cell r="E192">
            <v>8900</v>
          </cell>
          <cell r="G192" t="str">
            <v>tatparts.ru</v>
          </cell>
          <cell r="H192">
            <v>12553</v>
          </cell>
          <cell r="I192">
            <v>6078</v>
          </cell>
          <cell r="J192">
            <v>5986.83</v>
          </cell>
        </row>
        <row r="193">
          <cell r="A193" t="str">
            <v>87810J7100</v>
          </cell>
          <cell r="B193" t="str">
            <v>Стекло глухое крыла левого заднего</v>
          </cell>
          <cell r="C193" t="str">
            <v>HYUNDAI/KIA</v>
          </cell>
          <cell r="D193">
            <v>1</v>
          </cell>
          <cell r="E193">
            <v>8720</v>
          </cell>
          <cell r="G193" t="str">
            <v>tatparts.ru</v>
          </cell>
          <cell r="H193">
            <v>12455</v>
          </cell>
          <cell r="I193">
            <v>3653</v>
          </cell>
          <cell r="J193">
            <v>3598.2049999999999</v>
          </cell>
        </row>
        <row r="194">
          <cell r="A194" t="str">
            <v>87810J7100</v>
          </cell>
          <cell r="B194" t="str">
            <v>Стекло глухое крыла левого заднего</v>
          </cell>
          <cell r="C194" t="str">
            <v>HYUNDAI/KIA</v>
          </cell>
          <cell r="D194">
            <v>1</v>
          </cell>
          <cell r="E194">
            <v>8720</v>
          </cell>
          <cell r="G194" t="str">
            <v>tatparts.ru</v>
          </cell>
          <cell r="H194">
            <v>12442</v>
          </cell>
          <cell r="I194">
            <v>3653</v>
          </cell>
          <cell r="J194">
            <v>3598.2049999999999</v>
          </cell>
        </row>
        <row r="195">
          <cell r="A195" t="str">
            <v>86351L2310</v>
          </cell>
          <cell r="B195" t="str">
            <v>Решетка радиатора</v>
          </cell>
          <cell r="C195" t="str">
            <v>HYUNDAI/KIA</v>
          </cell>
          <cell r="D195">
            <v>2</v>
          </cell>
          <cell r="E195">
            <v>9854.9249999999993</v>
          </cell>
          <cell r="G195" t="str">
            <v>автолига.рф</v>
          </cell>
          <cell r="H195">
            <v>12270</v>
          </cell>
          <cell r="I195">
            <v>8411</v>
          </cell>
          <cell r="J195">
            <v>8284.8349999999991</v>
          </cell>
        </row>
        <row r="196">
          <cell r="A196" t="str">
            <v>KD5350260D</v>
          </cell>
          <cell r="B196" t="str">
            <v>УСИЛИТЕЛЬ ЗАДНЕГО БАМПЕРА</v>
          </cell>
          <cell r="C196" t="str">
            <v>Mazda</v>
          </cell>
          <cell r="D196">
            <v>2</v>
          </cell>
          <cell r="E196">
            <v>13571.33</v>
          </cell>
          <cell r="G196" t="str">
            <v>tatparts.ru</v>
          </cell>
          <cell r="H196">
            <v>12139</v>
          </cell>
          <cell r="I196">
            <v>9711</v>
          </cell>
          <cell r="J196">
            <v>9565.3349999999991</v>
          </cell>
        </row>
        <row r="197">
          <cell r="A197" t="str">
            <v>KD5350260D</v>
          </cell>
          <cell r="B197" t="str">
            <v>УСИЛИТЕЛЬ ЗАДНЕГО БАМПЕРА</v>
          </cell>
          <cell r="C197" t="str">
            <v>Mazda</v>
          </cell>
          <cell r="D197">
            <v>1</v>
          </cell>
          <cell r="E197">
            <v>13571.33</v>
          </cell>
          <cell r="G197" t="str">
            <v>tatparts.ru</v>
          </cell>
          <cell r="H197">
            <v>12288</v>
          </cell>
          <cell r="I197">
            <v>9711</v>
          </cell>
          <cell r="J197">
            <v>9565.3349999999991</v>
          </cell>
        </row>
        <row r="198">
          <cell r="A198" t="str">
            <v>KD5350260D</v>
          </cell>
          <cell r="B198" t="str">
            <v>УСИЛИТЕЛЬ ЗАДНЕГО БАМПЕРА</v>
          </cell>
          <cell r="C198" t="str">
            <v>Mazda</v>
          </cell>
          <cell r="D198">
            <v>1</v>
          </cell>
          <cell r="E198">
            <v>13571.33</v>
          </cell>
          <cell r="G198" t="str">
            <v>tatparts.ru</v>
          </cell>
          <cell r="H198">
            <v>12139</v>
          </cell>
          <cell r="I198">
            <v>9711</v>
          </cell>
          <cell r="J198">
            <v>9565.3349999999991</v>
          </cell>
        </row>
        <row r="199">
          <cell r="A199" t="str">
            <v>KD5350260D</v>
          </cell>
          <cell r="B199" t="str">
            <v>УСИЛИТЕЛЬ ЗАДНЕГО БАМПЕРА</v>
          </cell>
          <cell r="C199" t="str">
            <v>Mazda</v>
          </cell>
          <cell r="D199">
            <v>1</v>
          </cell>
          <cell r="E199">
            <v>13571.33</v>
          </cell>
          <cell r="G199" t="str">
            <v>tatparts.ru</v>
          </cell>
          <cell r="H199">
            <v>11413</v>
          </cell>
          <cell r="I199">
            <v>9711</v>
          </cell>
          <cell r="J199">
            <v>9565.3349999999991</v>
          </cell>
        </row>
        <row r="200">
          <cell r="A200" t="str">
            <v>KD5350260D</v>
          </cell>
          <cell r="B200" t="str">
            <v>УСИЛИТЕЛЬ ЗАДНЕГО БАМПЕРА</v>
          </cell>
          <cell r="C200" t="str">
            <v>Mazda</v>
          </cell>
          <cell r="D200">
            <v>1</v>
          </cell>
          <cell r="E200">
            <v>13571.33</v>
          </cell>
          <cell r="G200" t="str">
            <v>tatparts.ru</v>
          </cell>
          <cell r="H200">
            <v>12437</v>
          </cell>
          <cell r="I200">
            <v>9711</v>
          </cell>
          <cell r="J200">
            <v>9565.3349999999991</v>
          </cell>
        </row>
        <row r="201">
          <cell r="A201" t="str">
            <v>KD5350260D</v>
          </cell>
          <cell r="B201" t="str">
            <v>УСИЛИТЕЛЬ ЗАДНЕГО БАМПЕРА</v>
          </cell>
          <cell r="C201" t="str">
            <v>Mazda</v>
          </cell>
          <cell r="D201">
            <v>1</v>
          </cell>
          <cell r="E201">
            <v>13571.33</v>
          </cell>
          <cell r="G201" t="str">
            <v>tatparts.ru</v>
          </cell>
          <cell r="H201">
            <v>12139</v>
          </cell>
          <cell r="I201">
            <v>9711</v>
          </cell>
          <cell r="J201">
            <v>9565.3349999999991</v>
          </cell>
        </row>
        <row r="202">
          <cell r="A202" t="str">
            <v>KD5350260D</v>
          </cell>
          <cell r="B202" t="str">
            <v>УСИЛИТЕЛЬ ЗАДНЕГО БАМПЕРА</v>
          </cell>
          <cell r="C202" t="str">
            <v>Mazda</v>
          </cell>
          <cell r="D202">
            <v>1</v>
          </cell>
          <cell r="E202">
            <v>13571.33</v>
          </cell>
          <cell r="G202" t="str">
            <v>tatparts.ru</v>
          </cell>
          <cell r="H202">
            <v>12437</v>
          </cell>
          <cell r="I202">
            <v>9711</v>
          </cell>
          <cell r="J202">
            <v>9565.3349999999991</v>
          </cell>
        </row>
        <row r="203">
          <cell r="A203" t="str">
            <v>66311D3000</v>
          </cell>
          <cell r="B203" t="str">
            <v>Крыло пер. лев.</v>
          </cell>
          <cell r="C203" t="str">
            <v>HYUNDAI/KIA</v>
          </cell>
          <cell r="D203">
            <v>1</v>
          </cell>
          <cell r="E203">
            <v>12026.85</v>
          </cell>
          <cell r="G203" t="str">
            <v>автолига.рф</v>
          </cell>
          <cell r="H203">
            <v>11957</v>
          </cell>
          <cell r="I203">
            <v>11288</v>
          </cell>
          <cell r="J203">
            <v>11118.68</v>
          </cell>
        </row>
        <row r="204">
          <cell r="A204" t="str">
            <v>66311D3000</v>
          </cell>
          <cell r="B204" t="str">
            <v>Крыло пер. лев.</v>
          </cell>
          <cell r="C204" t="str">
            <v>HYUNDAI/KIA</v>
          </cell>
          <cell r="D204">
            <v>1</v>
          </cell>
          <cell r="E204">
            <v>12026.85</v>
          </cell>
          <cell r="G204" t="str">
            <v>автолига.рф</v>
          </cell>
          <cell r="H204">
            <v>11957</v>
          </cell>
          <cell r="I204">
            <v>11288</v>
          </cell>
          <cell r="J204">
            <v>11118.68</v>
          </cell>
        </row>
        <row r="205">
          <cell r="A205" t="str">
            <v>66311D3000</v>
          </cell>
          <cell r="B205" t="str">
            <v>Крыло пер. лев.</v>
          </cell>
          <cell r="C205" t="str">
            <v>HYUNDAI/KIA</v>
          </cell>
          <cell r="D205">
            <v>1</v>
          </cell>
          <cell r="E205">
            <v>12026.85</v>
          </cell>
          <cell r="G205" t="str">
            <v>автолига.рф</v>
          </cell>
          <cell r="H205">
            <v>11957</v>
          </cell>
          <cell r="I205">
            <v>11288</v>
          </cell>
          <cell r="J205">
            <v>11118.68</v>
          </cell>
        </row>
        <row r="206">
          <cell r="A206" t="str">
            <v>51127493626</v>
          </cell>
          <cell r="B206" t="str">
            <v>Накладка выхлопной трубы П</v>
          </cell>
          <cell r="C206" t="str">
            <v>BMW</v>
          </cell>
          <cell r="D206">
            <v>1</v>
          </cell>
          <cell r="E206">
            <v>2200</v>
          </cell>
          <cell r="G206" t="str">
            <v>автолига.рф</v>
          </cell>
          <cell r="H206">
            <v>11726</v>
          </cell>
          <cell r="I206">
            <v>2056</v>
          </cell>
          <cell r="J206">
            <v>2025.16</v>
          </cell>
        </row>
        <row r="207">
          <cell r="A207" t="str">
            <v>92201H0200</v>
          </cell>
          <cell r="B207" t="str">
            <v>ПТФ перед. лев.</v>
          </cell>
          <cell r="C207" t="str">
            <v>HYUNDAI/KIA</v>
          </cell>
          <cell r="D207">
            <v>1</v>
          </cell>
          <cell r="E207">
            <v>8290</v>
          </cell>
          <cell r="G207" t="str">
            <v>автолига.рф</v>
          </cell>
          <cell r="H207">
            <v>11673</v>
          </cell>
          <cell r="I207">
            <v>8313</v>
          </cell>
          <cell r="J207">
            <v>8188.3050000000003</v>
          </cell>
        </row>
        <row r="208">
          <cell r="A208" t="str">
            <v>5E6945308A</v>
          </cell>
          <cell r="B208" t="str">
            <v>Фонарь задний светодиодный правый</v>
          </cell>
          <cell r="C208" t="str">
            <v>VAG</v>
          </cell>
          <cell r="D208">
            <v>2</v>
          </cell>
          <cell r="E208">
            <v>6250</v>
          </cell>
          <cell r="G208" t="str">
            <v>tatparts.ru</v>
          </cell>
          <cell r="H208">
            <v>11652</v>
          </cell>
          <cell r="I208">
            <v>6137</v>
          </cell>
          <cell r="J208">
            <v>6044.9449999999997</v>
          </cell>
        </row>
        <row r="209">
          <cell r="A209" t="str">
            <v>KBY058769</v>
          </cell>
          <cell r="B209" t="str">
            <v>КРЫШКА ПАНЕЛИ ДВЕРИ</v>
          </cell>
          <cell r="C209" t="str">
            <v>Mazda</v>
          </cell>
          <cell r="D209">
            <v>1</v>
          </cell>
          <cell r="E209">
            <v>5755</v>
          </cell>
          <cell r="G209" t="str">
            <v>автолига.рф</v>
          </cell>
          <cell r="H209">
            <v>11572</v>
          </cell>
          <cell r="I209">
            <v>5741</v>
          </cell>
          <cell r="J209">
            <v>5654.8850000000002</v>
          </cell>
        </row>
        <row r="210">
          <cell r="A210" t="str">
            <v>5E6945307A</v>
          </cell>
          <cell r="B210" t="str">
            <v>Фонарь задний светодиодный левый</v>
          </cell>
          <cell r="C210" t="str">
            <v>VAG</v>
          </cell>
          <cell r="D210">
            <v>1</v>
          </cell>
          <cell r="E210">
            <v>5446.0649999999996</v>
          </cell>
          <cell r="G210" t="str">
            <v>tatparts.ru</v>
          </cell>
          <cell r="H210">
            <v>11505</v>
          </cell>
          <cell r="I210">
            <v>4500</v>
          </cell>
          <cell r="J210">
            <v>4432.5</v>
          </cell>
        </row>
        <row r="211">
          <cell r="A211" t="str">
            <v>5E6945307A</v>
          </cell>
          <cell r="B211" t="str">
            <v>Фонарь задний светодиодный левый</v>
          </cell>
          <cell r="C211" t="str">
            <v>VAG</v>
          </cell>
          <cell r="D211">
            <v>2</v>
          </cell>
          <cell r="E211">
            <v>5446.0649999999996</v>
          </cell>
          <cell r="G211" t="str">
            <v>tatparts.ru</v>
          </cell>
          <cell r="H211">
            <v>11652</v>
          </cell>
          <cell r="I211">
            <v>4500</v>
          </cell>
          <cell r="J211">
            <v>4432.5</v>
          </cell>
        </row>
        <row r="212">
          <cell r="A212" t="str">
            <v>86631M6200</v>
          </cell>
          <cell r="B212" t="str">
            <v>Усилитель бампера заднего</v>
          </cell>
          <cell r="C212" t="str">
            <v>HYUNDAI/KIA</v>
          </cell>
          <cell r="D212">
            <v>1</v>
          </cell>
          <cell r="E212">
            <v>10521</v>
          </cell>
          <cell r="G212" t="str">
            <v>автолига.рф</v>
          </cell>
          <cell r="H212">
            <v>11430</v>
          </cell>
          <cell r="I212">
            <v>10580</v>
          </cell>
          <cell r="J212">
            <v>10421.299999999999</v>
          </cell>
        </row>
        <row r="213">
          <cell r="A213" t="str">
            <v>8159142062</v>
          </cell>
          <cell r="B213" t="str">
            <v>Фонарь зад. лев. внутр.</v>
          </cell>
          <cell r="C213" t="str">
            <v>TOYOTA</v>
          </cell>
          <cell r="D213">
            <v>2</v>
          </cell>
          <cell r="E213">
            <v>9972</v>
          </cell>
          <cell r="G213" t="str">
            <v>автолига.рф</v>
          </cell>
          <cell r="H213">
            <v>11035</v>
          </cell>
          <cell r="I213">
            <v>10022</v>
          </cell>
          <cell r="J213">
            <v>9871.67</v>
          </cell>
        </row>
        <row r="214">
          <cell r="A214" t="str">
            <v>5NA854950AFRYP</v>
          </cell>
          <cell r="B214" t="str">
            <v>Накладка задней двери правая</v>
          </cell>
          <cell r="C214" t="str">
            <v>VAG</v>
          </cell>
          <cell r="D214">
            <v>2</v>
          </cell>
          <cell r="E214">
            <v>5651</v>
          </cell>
          <cell r="G214" t="str">
            <v>автолига.рф</v>
          </cell>
          <cell r="H214">
            <v>10842</v>
          </cell>
          <cell r="I214">
            <v>5636</v>
          </cell>
          <cell r="J214">
            <v>5551.46</v>
          </cell>
        </row>
        <row r="215">
          <cell r="A215" t="str">
            <v>5NA854950AFRYP</v>
          </cell>
          <cell r="B215" t="str">
            <v>Накладка задней двери правая</v>
          </cell>
          <cell r="C215" t="str">
            <v>VAG</v>
          </cell>
          <cell r="D215">
            <v>3</v>
          </cell>
          <cell r="E215">
            <v>8500</v>
          </cell>
          <cell r="G215" t="str">
            <v>автолига.рф</v>
          </cell>
          <cell r="H215">
            <v>15074</v>
          </cell>
          <cell r="I215">
            <v>5636</v>
          </cell>
          <cell r="J215">
            <v>5551.46</v>
          </cell>
        </row>
        <row r="216">
          <cell r="A216" t="str">
            <v>808644919R</v>
          </cell>
          <cell r="B216" t="str">
            <v>Уплотнитель двери пер прав (рез)</v>
          </cell>
          <cell r="C216" t="str">
            <v>RENAULT</v>
          </cell>
          <cell r="D216">
            <v>1</v>
          </cell>
          <cell r="E216">
            <v>7500</v>
          </cell>
          <cell r="G216" t="str">
            <v>автолига.рф</v>
          </cell>
          <cell r="H216">
            <v>10837</v>
          </cell>
          <cell r="I216">
            <v>1629</v>
          </cell>
          <cell r="J216">
            <v>1604.5650000000001</v>
          </cell>
        </row>
        <row r="217">
          <cell r="A217" t="str">
            <v>1429719</v>
          </cell>
          <cell r="B217" t="str">
            <v>ЗЕРКАЛО ЗАДНЕГО ВИДА ЛЕВОЕ</v>
          </cell>
          <cell r="C217" t="str">
            <v>FORD</v>
          </cell>
          <cell r="D217">
            <v>1</v>
          </cell>
          <cell r="E217">
            <v>17069.064999999999</v>
          </cell>
          <cell r="G217" t="str">
            <v>tatparts.ru</v>
          </cell>
          <cell r="H217">
            <v>10698</v>
          </cell>
          <cell r="I217">
            <v>6322</v>
          </cell>
          <cell r="J217">
            <v>6227.17</v>
          </cell>
        </row>
        <row r="218">
          <cell r="A218" t="str">
            <v>1429719</v>
          </cell>
          <cell r="B218" t="str">
            <v>ЗЕРКАЛО ЗАДНЕГО ВИДА ЛЕВОЕ</v>
          </cell>
          <cell r="C218" t="str">
            <v>FORD</v>
          </cell>
          <cell r="D218">
            <v>1</v>
          </cell>
          <cell r="E218">
            <v>17069.064999999999</v>
          </cell>
          <cell r="G218" t="str">
            <v>tatparts.ru</v>
          </cell>
          <cell r="H218">
            <v>10592</v>
          </cell>
          <cell r="I218">
            <v>6322</v>
          </cell>
          <cell r="J218">
            <v>6227.17</v>
          </cell>
        </row>
        <row r="219">
          <cell r="A219" t="str">
            <v>924043Z300</v>
          </cell>
          <cell r="B219" t="str">
            <v>Фонарь задний правый  внутренний</v>
          </cell>
          <cell r="C219" t="str">
            <v>HYUNDAI/KIA</v>
          </cell>
          <cell r="D219">
            <v>1</v>
          </cell>
          <cell r="E219">
            <v>6956</v>
          </cell>
          <cell r="G219" t="str">
            <v>автолига.рф</v>
          </cell>
          <cell r="H219">
            <v>10661</v>
          </cell>
          <cell r="I219">
            <v>6960</v>
          </cell>
          <cell r="J219">
            <v>6855.5999999999995</v>
          </cell>
        </row>
        <row r="220">
          <cell r="A220" t="str">
            <v>86631C5000</v>
          </cell>
          <cell r="B220" t="str">
            <v>Усилитель бампера</v>
          </cell>
          <cell r="C220" t="str">
            <v>HYUNDAI/KIA</v>
          </cell>
          <cell r="D220">
            <v>4</v>
          </cell>
          <cell r="E220">
            <v>5653</v>
          </cell>
          <cell r="G220" t="str">
            <v>автолига.рф</v>
          </cell>
          <cell r="H220">
            <v>10633</v>
          </cell>
          <cell r="I220">
            <v>5617</v>
          </cell>
          <cell r="J220">
            <v>5532.7449999999999</v>
          </cell>
        </row>
        <row r="221">
          <cell r="A221" t="str">
            <v>86631C5000</v>
          </cell>
          <cell r="B221" t="str">
            <v>Усилитель бампера</v>
          </cell>
          <cell r="C221" t="str">
            <v>HYUNDAI/KIA</v>
          </cell>
          <cell r="D221">
            <v>1</v>
          </cell>
          <cell r="E221">
            <v>5653</v>
          </cell>
          <cell r="G221" t="str">
            <v>автолига.рф</v>
          </cell>
          <cell r="H221">
            <v>12967</v>
          </cell>
          <cell r="I221">
            <v>5617</v>
          </cell>
          <cell r="J221">
            <v>5532.7449999999999</v>
          </cell>
        </row>
        <row r="222">
          <cell r="A222" t="str">
            <v>92207M0000</v>
          </cell>
          <cell r="B222" t="str">
            <v>Фара противотуманная левая</v>
          </cell>
          <cell r="C222" t="str">
            <v>HYUNDAI/KIA</v>
          </cell>
          <cell r="D222">
            <v>1</v>
          </cell>
          <cell r="E222">
            <v>6855</v>
          </cell>
          <cell r="G222" t="str">
            <v>tatparts.ru</v>
          </cell>
          <cell r="H222">
            <v>10620</v>
          </cell>
          <cell r="I222">
            <v>6858</v>
          </cell>
          <cell r="J222">
            <v>6755.13</v>
          </cell>
        </row>
        <row r="223">
          <cell r="A223" t="str">
            <v>92207M0000</v>
          </cell>
          <cell r="B223" t="str">
            <v>Фара противотуманная левая</v>
          </cell>
          <cell r="C223" t="str">
            <v>HYUNDAI/KIA</v>
          </cell>
          <cell r="D223">
            <v>2</v>
          </cell>
          <cell r="E223">
            <v>6446.8249999999998</v>
          </cell>
          <cell r="G223" t="str">
            <v>автолига.рф</v>
          </cell>
          <cell r="H223">
            <v>10620</v>
          </cell>
          <cell r="I223">
            <v>6297</v>
          </cell>
          <cell r="J223">
            <v>6202.5450000000001</v>
          </cell>
        </row>
        <row r="224">
          <cell r="A224" t="str">
            <v>92207M0000</v>
          </cell>
          <cell r="B224" t="str">
            <v>Фара противотуманная левая</v>
          </cell>
          <cell r="C224" t="str">
            <v>HYUNDAI/KIA</v>
          </cell>
          <cell r="D224">
            <v>1</v>
          </cell>
          <cell r="E224">
            <v>6446.8249999999998</v>
          </cell>
          <cell r="G224" t="str">
            <v>автолига.рф</v>
          </cell>
          <cell r="H224">
            <v>10620</v>
          </cell>
          <cell r="I224">
            <v>6297</v>
          </cell>
          <cell r="J224">
            <v>6202.5450000000001</v>
          </cell>
        </row>
        <row r="225">
          <cell r="A225" t="str">
            <v>92207M0000</v>
          </cell>
          <cell r="B225" t="str">
            <v>Фара противотуманная левая</v>
          </cell>
          <cell r="C225" t="str">
            <v>HYUNDAI/KIA</v>
          </cell>
          <cell r="D225">
            <v>1</v>
          </cell>
          <cell r="E225">
            <v>6446.8249999999998</v>
          </cell>
          <cell r="G225" t="str">
            <v>автолига.рф</v>
          </cell>
          <cell r="H225">
            <v>10620</v>
          </cell>
          <cell r="I225">
            <v>6297</v>
          </cell>
          <cell r="J225">
            <v>6202.5450000000001</v>
          </cell>
        </row>
        <row r="226">
          <cell r="A226" t="str">
            <v>92208M0000</v>
          </cell>
          <cell r="B226" t="str">
            <v>Фара ПТФ прав.</v>
          </cell>
          <cell r="C226" t="str">
            <v>HYUNDAI/KIA</v>
          </cell>
          <cell r="D226">
            <v>1</v>
          </cell>
          <cell r="E226">
            <v>6336</v>
          </cell>
          <cell r="G226" t="str">
            <v>автолига.рф</v>
          </cell>
          <cell r="H226">
            <v>10620</v>
          </cell>
          <cell r="I226">
            <v>6331</v>
          </cell>
          <cell r="J226">
            <v>6236.0349999999999</v>
          </cell>
        </row>
        <row r="227">
          <cell r="A227" t="str">
            <v>92208M0000</v>
          </cell>
          <cell r="B227" t="str">
            <v>Фара ПТФ прав.</v>
          </cell>
          <cell r="C227" t="str">
            <v>HYUNDAI/KIA</v>
          </cell>
          <cell r="D227">
            <v>1</v>
          </cell>
          <cell r="E227">
            <v>6336</v>
          </cell>
          <cell r="G227" t="str">
            <v>автолига.рф</v>
          </cell>
          <cell r="H227">
            <v>10620</v>
          </cell>
          <cell r="I227">
            <v>6331</v>
          </cell>
          <cell r="J227">
            <v>6236.0349999999999</v>
          </cell>
        </row>
        <row r="228">
          <cell r="A228" t="str">
            <v>92207M0000</v>
          </cell>
          <cell r="B228" t="str">
            <v>Фара противотуманная левая</v>
          </cell>
          <cell r="C228" t="str">
            <v>HYUNDAI/KIA</v>
          </cell>
          <cell r="D228">
            <v>1</v>
          </cell>
          <cell r="E228">
            <v>6446.8249999999998</v>
          </cell>
          <cell r="G228" t="str">
            <v>автолига.рф</v>
          </cell>
          <cell r="H228">
            <v>10620</v>
          </cell>
          <cell r="I228">
            <v>6297</v>
          </cell>
          <cell r="J228">
            <v>6202.5450000000001</v>
          </cell>
        </row>
        <row r="229">
          <cell r="A229" t="str">
            <v>92207M0000</v>
          </cell>
          <cell r="B229" t="str">
            <v>Фара противотуманная левая</v>
          </cell>
          <cell r="C229" t="str">
            <v>HYUNDAI/KIA</v>
          </cell>
          <cell r="D229">
            <v>1</v>
          </cell>
          <cell r="E229">
            <v>6446.8249999999998</v>
          </cell>
          <cell r="G229" t="str">
            <v>автолига.рф</v>
          </cell>
          <cell r="H229">
            <v>10620</v>
          </cell>
          <cell r="I229">
            <v>6297</v>
          </cell>
          <cell r="J229">
            <v>6202.5450000000001</v>
          </cell>
        </row>
        <row r="230">
          <cell r="A230" t="str">
            <v>6102B049</v>
          </cell>
          <cell r="B230" t="str">
            <v xml:space="preserve">Стекло лобовое </v>
          </cell>
          <cell r="C230" t="str">
            <v>MITSUBISHI</v>
          </cell>
          <cell r="D230">
            <v>1</v>
          </cell>
          <cell r="E230">
            <v>6717</v>
          </cell>
          <cell r="G230" t="str">
            <v>автолига.рф</v>
          </cell>
          <cell r="H230">
            <v>10549</v>
          </cell>
          <cell r="I230">
            <v>6718</v>
          </cell>
          <cell r="J230">
            <v>6617.23</v>
          </cell>
        </row>
        <row r="231">
          <cell r="A231" t="str">
            <v>6102B049</v>
          </cell>
          <cell r="B231" t="str">
            <v xml:space="preserve">Стекло лобовое </v>
          </cell>
          <cell r="C231" t="str">
            <v>MITSUBISHI</v>
          </cell>
          <cell r="D231">
            <v>1</v>
          </cell>
          <cell r="E231">
            <v>6717</v>
          </cell>
          <cell r="G231" t="str">
            <v>автолига.рф</v>
          </cell>
          <cell r="H231">
            <v>10549</v>
          </cell>
          <cell r="I231">
            <v>6718</v>
          </cell>
          <cell r="J231">
            <v>6617.23</v>
          </cell>
        </row>
        <row r="232">
          <cell r="A232" t="str">
            <v>6102B049</v>
          </cell>
          <cell r="B232" t="str">
            <v xml:space="preserve">Стекло лобовое </v>
          </cell>
          <cell r="C232" t="str">
            <v>MITSUBISHI</v>
          </cell>
          <cell r="D232">
            <v>1</v>
          </cell>
          <cell r="E232">
            <v>6717</v>
          </cell>
          <cell r="G232" t="str">
            <v>автолига.рф</v>
          </cell>
          <cell r="H232">
            <v>10549</v>
          </cell>
          <cell r="I232">
            <v>6718</v>
          </cell>
          <cell r="J232">
            <v>6617.23</v>
          </cell>
        </row>
        <row r="233">
          <cell r="A233" t="str">
            <v>6102B049</v>
          </cell>
          <cell r="B233" t="str">
            <v xml:space="preserve">Стекло лобовое </v>
          </cell>
          <cell r="C233" t="str">
            <v>MITSUBISHI</v>
          </cell>
          <cell r="D233">
            <v>1</v>
          </cell>
          <cell r="E233">
            <v>6717</v>
          </cell>
          <cell r="G233" t="str">
            <v>автолига.рф</v>
          </cell>
          <cell r="H233">
            <v>10549</v>
          </cell>
          <cell r="I233">
            <v>6718</v>
          </cell>
          <cell r="J233">
            <v>6617.23</v>
          </cell>
        </row>
        <row r="234">
          <cell r="A234" t="str">
            <v>51357433432</v>
          </cell>
          <cell r="B234" t="str">
            <v>Неподвижное боковое стекло П Зд</v>
          </cell>
          <cell r="C234" t="str">
            <v>BMW</v>
          </cell>
          <cell r="D234">
            <v>1</v>
          </cell>
          <cell r="E234">
            <v>5500</v>
          </cell>
          <cell r="G234" t="str">
            <v>автолига.рф</v>
          </cell>
          <cell r="H234">
            <v>10404</v>
          </cell>
          <cell r="I234">
            <v>3381</v>
          </cell>
          <cell r="J234">
            <v>3330.2849999999999</v>
          </cell>
        </row>
        <row r="235">
          <cell r="A235" t="str">
            <v>6554AGNVW2B</v>
          </cell>
          <cell r="B235" t="str">
            <v xml:space="preserve">Стекло лобовое </v>
          </cell>
          <cell r="C235" t="str">
            <v>FYG</v>
          </cell>
          <cell r="D235">
            <v>1</v>
          </cell>
          <cell r="E235">
            <v>7907.58</v>
          </cell>
          <cell r="G235" t="str">
            <v>tatparts.ru</v>
          </cell>
          <cell r="H235">
            <v>9800</v>
          </cell>
          <cell r="I235">
            <v>8023</v>
          </cell>
          <cell r="J235">
            <v>7902.6549999999997</v>
          </cell>
        </row>
        <row r="236">
          <cell r="A236" t="str">
            <v>565857811  RAA</v>
          </cell>
          <cell r="B236" t="str">
            <v>Трехточечный ремень безопасности (левый)</v>
          </cell>
          <cell r="C236" t="str">
            <v>VAG</v>
          </cell>
          <cell r="D236">
            <v>1</v>
          </cell>
          <cell r="E236">
            <v>2800</v>
          </cell>
          <cell r="G236" t="str">
            <v>автолига.рф</v>
          </cell>
          <cell r="H236">
            <v>9605</v>
          </cell>
          <cell r="I236">
            <v>2708</v>
          </cell>
          <cell r="J236">
            <v>2667.38</v>
          </cell>
        </row>
        <row r="237">
          <cell r="A237" t="str">
            <v>219008403011497</v>
          </cell>
          <cell r="B237" t="str">
            <v>Крыло переднее левое Granta 1 крашенное цвет ОДИССЕЙ</v>
          </cell>
          <cell r="C237" t="str">
            <v>RUS</v>
          </cell>
          <cell r="D237">
            <v>1</v>
          </cell>
          <cell r="E237">
            <v>9000</v>
          </cell>
          <cell r="H237">
            <v>9326</v>
          </cell>
          <cell r="I237">
            <v>7043</v>
          </cell>
          <cell r="J237">
            <v>6937.3549999999996</v>
          </cell>
        </row>
        <row r="238">
          <cell r="A238" t="str">
            <v>83410M6011</v>
          </cell>
          <cell r="B238" t="str">
            <v>Стекло задней левой двери</v>
          </cell>
          <cell r="C238" t="str">
            <v>HYUNDAI/KIA</v>
          </cell>
          <cell r="D238">
            <v>1</v>
          </cell>
          <cell r="E238">
            <v>7910</v>
          </cell>
          <cell r="G238" t="str">
            <v>tatparts.ru</v>
          </cell>
          <cell r="H238">
            <v>9158</v>
          </cell>
          <cell r="I238">
            <v>7929</v>
          </cell>
          <cell r="J238">
            <v>7810.0649999999996</v>
          </cell>
        </row>
        <row r="239">
          <cell r="A239" t="str">
            <v>LR061593</v>
          </cell>
          <cell r="B239" t="str">
            <v>Накладка порога багажной двери</v>
          </cell>
          <cell r="C239" t="str">
            <v>LANDROVER</v>
          </cell>
          <cell r="D239">
            <v>1</v>
          </cell>
          <cell r="E239">
            <v>7500</v>
          </cell>
          <cell r="G239" t="str">
            <v>автолига.рф</v>
          </cell>
          <cell r="H239">
            <v>8852</v>
          </cell>
          <cell r="I239">
            <v>2929</v>
          </cell>
          <cell r="J239">
            <v>2885.0650000000001</v>
          </cell>
        </row>
        <row r="240">
          <cell r="A240" t="str">
            <v>8331A179</v>
          </cell>
          <cell r="B240" t="str">
            <v>ФОНАРЬ ЗАДНИЙ ЛЕВЫЙ ГАБАРИТНЫЙ В СБОРЕ</v>
          </cell>
          <cell r="C240" t="str">
            <v>MITSUBISHI</v>
          </cell>
          <cell r="D240">
            <v>1</v>
          </cell>
          <cell r="E240">
            <v>13476.77</v>
          </cell>
          <cell r="G240" t="str">
            <v>tatparts.ru</v>
          </cell>
          <cell r="H240">
            <v>8742</v>
          </cell>
          <cell r="I240">
            <v>5598</v>
          </cell>
          <cell r="J240">
            <v>5514.03</v>
          </cell>
        </row>
        <row r="241">
          <cell r="A241" t="str">
            <v>8331A179</v>
          </cell>
          <cell r="B241" t="str">
            <v>ФОНАРЬ ЗАДНИЙ ЛЕВЫЙ ГАБАРИТНЫЙ В СБОРЕ</v>
          </cell>
          <cell r="C241" t="str">
            <v>MITSUBISHI</v>
          </cell>
          <cell r="D241">
            <v>1</v>
          </cell>
          <cell r="E241">
            <v>13476.77</v>
          </cell>
          <cell r="G241" t="str">
            <v>tatparts.ru</v>
          </cell>
          <cell r="H241">
            <v>13713</v>
          </cell>
          <cell r="I241">
            <v>5598</v>
          </cell>
          <cell r="J241">
            <v>5514.03</v>
          </cell>
        </row>
        <row r="242">
          <cell r="A242" t="str">
            <v>8331A179</v>
          </cell>
          <cell r="B242" t="str">
            <v>ФОНАРЬ ЗАДНИЙ ЛЕВЫЙ ГАБАРИТНЫЙ В СБОРЕ</v>
          </cell>
          <cell r="C242" t="str">
            <v>MITSUBISHI</v>
          </cell>
          <cell r="D242">
            <v>1</v>
          </cell>
          <cell r="E242">
            <v>13476.77</v>
          </cell>
          <cell r="G242" t="str">
            <v>tatparts.ru</v>
          </cell>
          <cell r="H242">
            <v>15518</v>
          </cell>
          <cell r="I242">
            <v>5598</v>
          </cell>
          <cell r="J242">
            <v>5514.03</v>
          </cell>
        </row>
        <row r="243">
          <cell r="A243" t="str">
            <v>8331A179</v>
          </cell>
          <cell r="B243" t="str">
            <v>ФОНАРЬ ЗАДНИЙ ЛЕВЫЙ ГАБАРИТНЫЙ В СБОРЕ</v>
          </cell>
          <cell r="C243" t="str">
            <v>MITSUBISHI</v>
          </cell>
          <cell r="D243">
            <v>1</v>
          </cell>
          <cell r="E243">
            <v>13476.77</v>
          </cell>
          <cell r="G243" t="str">
            <v>tatparts.ru</v>
          </cell>
          <cell r="H243">
            <v>24304</v>
          </cell>
          <cell r="I243">
            <v>5598</v>
          </cell>
          <cell r="J243">
            <v>5514.03</v>
          </cell>
        </row>
        <row r="244">
          <cell r="A244" t="str">
            <v>8331A179</v>
          </cell>
          <cell r="B244" t="str">
            <v>ФОНАРЬ ЗАДНИЙ ЛЕВЫЙ ГАБАРИТНЫЙ В СБОРЕ</v>
          </cell>
          <cell r="C244" t="str">
            <v>MITSUBISHI</v>
          </cell>
          <cell r="D244">
            <v>1</v>
          </cell>
          <cell r="E244">
            <v>13476.77</v>
          </cell>
          <cell r="G244" t="str">
            <v>tatparts.ru</v>
          </cell>
          <cell r="H244">
            <v>15518</v>
          </cell>
          <cell r="I244">
            <v>5598</v>
          </cell>
          <cell r="J244">
            <v>5514.03</v>
          </cell>
        </row>
        <row r="245">
          <cell r="A245" t="str">
            <v>51357470626</v>
          </cell>
          <cell r="B245" t="str">
            <v>Боковое стекло П Зд двери зеленое</v>
          </cell>
          <cell r="C245" t="str">
            <v>BMW</v>
          </cell>
          <cell r="D245">
            <v>1</v>
          </cell>
          <cell r="E245">
            <v>10917.7991</v>
          </cell>
          <cell r="G245" t="str">
            <v>tatparts.ru</v>
          </cell>
          <cell r="H245">
            <v>8724</v>
          </cell>
          <cell r="I245">
            <v>3924</v>
          </cell>
          <cell r="J245">
            <v>3865.14</v>
          </cell>
        </row>
        <row r="246">
          <cell r="A246" t="str">
            <v>5217960080</v>
          </cell>
          <cell r="B246" t="str">
            <v>Накладка бампера заднего</v>
          </cell>
          <cell r="C246" t="str">
            <v>TOYOTA</v>
          </cell>
          <cell r="D246">
            <v>1</v>
          </cell>
          <cell r="E246">
            <v>7500</v>
          </cell>
          <cell r="G246" t="str">
            <v>автолига.рф</v>
          </cell>
          <cell r="H246">
            <v>8687</v>
          </cell>
          <cell r="I246">
            <v>5798</v>
          </cell>
          <cell r="J246">
            <v>5711.03</v>
          </cell>
        </row>
        <row r="247">
          <cell r="A247" t="str">
            <v>96425285</v>
          </cell>
          <cell r="B247" t="str">
            <v>Фара пер.LH C.Lacetti седан</v>
          </cell>
          <cell r="C247" t="str">
            <v>GENERAL MOTORS</v>
          </cell>
          <cell r="D247">
            <v>1</v>
          </cell>
          <cell r="E247">
            <v>12001.24</v>
          </cell>
          <cell r="G247" t="str">
            <v>tatparts.ru</v>
          </cell>
          <cell r="H247">
            <v>8664</v>
          </cell>
          <cell r="I247">
            <v>2487</v>
          </cell>
          <cell r="J247">
            <v>2449.6950000000002</v>
          </cell>
        </row>
        <row r="248">
          <cell r="A248" t="str">
            <v>51417936719</v>
          </cell>
          <cell r="B248" t="str">
            <v>Накладка двери дер.'Fineline' Л Пд</v>
          </cell>
          <cell r="C248" t="str">
            <v>BMW</v>
          </cell>
          <cell r="D248">
            <v>1</v>
          </cell>
          <cell r="E248">
            <v>6500</v>
          </cell>
          <cell r="G248" t="str">
            <v>автолига.рф</v>
          </cell>
          <cell r="H248">
            <v>8655</v>
          </cell>
          <cell r="I248">
            <v>6351</v>
          </cell>
          <cell r="J248">
            <v>6255.7349999999997</v>
          </cell>
        </row>
        <row r="249">
          <cell r="A249" t="str">
            <v>849507078R</v>
          </cell>
          <cell r="B249" t="str">
            <v>Обшивка стенки багажника правая (плас)</v>
          </cell>
          <cell r="C249" t="str">
            <v>RENAULT</v>
          </cell>
          <cell r="D249">
            <v>1</v>
          </cell>
          <cell r="E249">
            <v>11758.88075</v>
          </cell>
          <cell r="G249" t="str">
            <v>автолига.рф</v>
          </cell>
          <cell r="H249">
            <v>8645</v>
          </cell>
          <cell r="I249">
            <v>8415</v>
          </cell>
          <cell r="J249">
            <v>8288.7749999999996</v>
          </cell>
        </row>
        <row r="250">
          <cell r="A250" t="str">
            <v>5244878020</v>
          </cell>
          <cell r="B250" t="str">
            <v>Заглушка бампера лев</v>
          </cell>
          <cell r="C250" t="str">
            <v>TOYOTA</v>
          </cell>
          <cell r="D250">
            <v>1</v>
          </cell>
          <cell r="E250">
            <v>6500</v>
          </cell>
          <cell r="G250" t="str">
            <v>автолига.рф</v>
          </cell>
          <cell r="H250">
            <v>8486</v>
          </cell>
          <cell r="I250">
            <v>6563</v>
          </cell>
          <cell r="J250">
            <v>6464.5550000000003</v>
          </cell>
        </row>
        <row r="251">
          <cell r="A251" t="str">
            <v>7043AGNGNM</v>
          </cell>
          <cell r="B251" t="str">
            <v>Стекло лобовое KMK Glass (RR Evoque 11-15 с датчиком дождя)</v>
          </cell>
          <cell r="C251" t="str">
            <v>KMK GLASS</v>
          </cell>
          <cell r="D251">
            <v>1</v>
          </cell>
          <cell r="E251">
            <v>7206.26</v>
          </cell>
          <cell r="G251" t="str">
            <v>tatparts.ru</v>
          </cell>
          <cell r="H251">
            <v>8446</v>
          </cell>
          <cell r="I251">
            <v>7316</v>
          </cell>
          <cell r="J251">
            <v>7206.26</v>
          </cell>
        </row>
        <row r="252">
          <cell r="A252" t="str">
            <v>6102B069</v>
          </cell>
          <cell r="B252" t="str">
            <v>Стекло лобовое</v>
          </cell>
          <cell r="C252" t="str">
            <v>MITSUBISHI</v>
          </cell>
          <cell r="D252">
            <v>1</v>
          </cell>
          <cell r="E252">
            <v>6500</v>
          </cell>
          <cell r="G252" t="str">
            <v>tatparts.ru</v>
          </cell>
          <cell r="H252">
            <v>8300</v>
          </cell>
          <cell r="I252">
            <v>5597</v>
          </cell>
          <cell r="J252">
            <v>5513.0450000000001</v>
          </cell>
        </row>
        <row r="253">
          <cell r="A253" t="str">
            <v>6102B069</v>
          </cell>
          <cell r="B253" t="str">
            <v>Стекло лобовое</v>
          </cell>
          <cell r="C253" t="str">
            <v>MITSUBISHI</v>
          </cell>
          <cell r="D253">
            <v>1</v>
          </cell>
          <cell r="E253">
            <v>6500</v>
          </cell>
          <cell r="G253" t="str">
            <v>tatparts.ru</v>
          </cell>
          <cell r="H253">
            <v>8300</v>
          </cell>
          <cell r="I253">
            <v>5597</v>
          </cell>
          <cell r="J253">
            <v>5513.0450000000001</v>
          </cell>
        </row>
        <row r="254">
          <cell r="A254" t="str">
            <v>92401Q5000</v>
          </cell>
          <cell r="B254" t="str">
            <v>Фонарь зад. левый (на крыле)</v>
          </cell>
          <cell r="C254" t="str">
            <v>HYUNDAI/KIA</v>
          </cell>
          <cell r="D254">
            <v>1</v>
          </cell>
          <cell r="E254">
            <v>8200</v>
          </cell>
          <cell r="G254" t="str">
            <v>автолига.рф</v>
          </cell>
          <cell r="H254">
            <v>8190</v>
          </cell>
          <cell r="I254">
            <v>4884</v>
          </cell>
          <cell r="J254">
            <v>4810.74</v>
          </cell>
        </row>
        <row r="255">
          <cell r="A255" t="str">
            <v>51118746240</v>
          </cell>
          <cell r="B255" t="str">
            <v>Накладка противотуманной фары П</v>
          </cell>
          <cell r="C255" t="str">
            <v>BMW</v>
          </cell>
          <cell r="D255">
            <v>1</v>
          </cell>
          <cell r="E255">
            <v>4450</v>
          </cell>
          <cell r="G255" t="str">
            <v>автолига.рф</v>
          </cell>
          <cell r="H255">
            <v>7973</v>
          </cell>
          <cell r="I255">
            <v>4482</v>
          </cell>
          <cell r="J255">
            <v>4414.7699999999995</v>
          </cell>
        </row>
        <row r="256">
          <cell r="A256" t="str">
            <v>51777319861</v>
          </cell>
          <cell r="B256" t="str">
            <v>Порог швеллера Л</v>
          </cell>
          <cell r="C256" t="str">
            <v>BMW</v>
          </cell>
          <cell r="D256">
            <v>10</v>
          </cell>
          <cell r="E256">
            <v>7426.9</v>
          </cell>
          <cell r="G256" t="str">
            <v>автолига.рф</v>
          </cell>
          <cell r="H256">
            <v>7915</v>
          </cell>
          <cell r="I256">
            <v>6250</v>
          </cell>
          <cell r="J256">
            <v>6156.25</v>
          </cell>
        </row>
        <row r="257">
          <cell r="A257" t="str">
            <v>803274275R</v>
          </cell>
          <cell r="B257" t="str">
            <v>Направляющая опускного стекла двери пер</v>
          </cell>
          <cell r="C257" t="str">
            <v>RENAULT</v>
          </cell>
          <cell r="D257">
            <v>1</v>
          </cell>
          <cell r="E257">
            <v>950</v>
          </cell>
          <cell r="G257" t="str">
            <v>tatparts.ru</v>
          </cell>
          <cell r="H257">
            <v>7861</v>
          </cell>
          <cell r="I257">
            <v>804</v>
          </cell>
          <cell r="J257">
            <v>791.93999999999994</v>
          </cell>
        </row>
        <row r="258">
          <cell r="A258" t="str">
            <v>BB5Z7827886B</v>
          </cell>
          <cell r="B258" t="str">
            <v xml:space="preserve">АРКА КОЛЕСА ПРАВОЕ </v>
          </cell>
          <cell r="C258" t="str">
            <v>FORD</v>
          </cell>
          <cell r="D258">
            <v>1</v>
          </cell>
          <cell r="E258">
            <v>2500</v>
          </cell>
          <cell r="G258" t="str">
            <v>автолига.рф</v>
          </cell>
          <cell r="H258">
            <v>7820</v>
          </cell>
          <cell r="I258">
            <v>1377</v>
          </cell>
          <cell r="J258">
            <v>1356.345</v>
          </cell>
        </row>
        <row r="259">
          <cell r="A259" t="str">
            <v>92202H5500</v>
          </cell>
          <cell r="B259" t="str">
            <v>ПТФ прав.</v>
          </cell>
          <cell r="C259" t="str">
            <v>HYUNDAI/KIA</v>
          </cell>
          <cell r="D259">
            <v>1</v>
          </cell>
          <cell r="E259">
            <v>7528.3549999999996</v>
          </cell>
          <cell r="G259" t="str">
            <v>tatparts.ru</v>
          </cell>
          <cell r="H259">
            <v>7716</v>
          </cell>
          <cell r="I259">
            <v>4748</v>
          </cell>
          <cell r="J259">
            <v>4676.78</v>
          </cell>
        </row>
        <row r="260">
          <cell r="A260" t="str">
            <v>5329533130</v>
          </cell>
          <cell r="B260" t="str">
            <v>ЗАЩИТА РАДИАТОРА</v>
          </cell>
          <cell r="C260" t="str">
            <v>TOYOTA</v>
          </cell>
          <cell r="D260">
            <v>2</v>
          </cell>
          <cell r="E260">
            <v>4473</v>
          </cell>
          <cell r="G260" t="str">
            <v>автолига.рф</v>
          </cell>
          <cell r="H260">
            <v>7711</v>
          </cell>
          <cell r="I260">
            <v>4319</v>
          </cell>
          <cell r="J260">
            <v>4254.2150000000001</v>
          </cell>
        </row>
        <row r="261">
          <cell r="A261" t="str">
            <v>5329533130</v>
          </cell>
          <cell r="B261" t="str">
            <v>ЗАЩИТА РАДИАТОРА</v>
          </cell>
          <cell r="C261" t="str">
            <v>TOYOTA</v>
          </cell>
          <cell r="D261">
            <v>1</v>
          </cell>
          <cell r="E261">
            <v>4473</v>
          </cell>
          <cell r="G261" t="str">
            <v>автолига.рф</v>
          </cell>
          <cell r="H261">
            <v>7711</v>
          </cell>
          <cell r="I261">
            <v>4319</v>
          </cell>
          <cell r="J261">
            <v>4254.2150000000001</v>
          </cell>
        </row>
        <row r="262">
          <cell r="A262" t="str">
            <v>747619314R</v>
          </cell>
          <cell r="B262" t="str">
            <v>Защитный экран топливного бака</v>
          </cell>
          <cell r="C262" t="str">
            <v>RENAULT</v>
          </cell>
          <cell r="D262">
            <v>1</v>
          </cell>
          <cell r="E262">
            <v>7542</v>
          </cell>
          <cell r="G262" t="str">
            <v>tatparts.ru</v>
          </cell>
          <cell r="H262">
            <v>7542</v>
          </cell>
          <cell r="I262">
            <v>248</v>
          </cell>
          <cell r="J262">
            <v>244.28</v>
          </cell>
        </row>
        <row r="263">
          <cell r="A263" t="str">
            <v>A2477208000</v>
          </cell>
          <cell r="B263" t="str">
            <v>Накладка двери передней правой</v>
          </cell>
          <cell r="C263" t="str">
            <v>MERCEDES-BENZ</v>
          </cell>
          <cell r="D263">
            <v>1</v>
          </cell>
          <cell r="E263">
            <v>6200</v>
          </cell>
          <cell r="G263" t="str">
            <v>автолига.рф</v>
          </cell>
          <cell r="H263">
            <v>7533</v>
          </cell>
          <cell r="I263">
            <v>5693</v>
          </cell>
          <cell r="J263">
            <v>5607.6049999999996</v>
          </cell>
        </row>
        <row r="264">
          <cell r="A264" t="str">
            <v>92405H0200</v>
          </cell>
          <cell r="B264" t="str">
            <v>Фонарь противотуманный задний левый</v>
          </cell>
          <cell r="C264" t="str">
            <v>HYUNDAI/KIA</v>
          </cell>
          <cell r="D264">
            <v>1</v>
          </cell>
          <cell r="E264">
            <v>7143.22</v>
          </cell>
          <cell r="G264" t="str">
            <v>tatparts.ru</v>
          </cell>
          <cell r="H264">
            <v>7183</v>
          </cell>
          <cell r="I264">
            <v>6202</v>
          </cell>
          <cell r="J264">
            <v>6108.97</v>
          </cell>
        </row>
        <row r="265">
          <cell r="A265" t="str">
            <v>92405H0200</v>
          </cell>
          <cell r="B265" t="str">
            <v>Фонарь противотуманный задний левый</v>
          </cell>
          <cell r="C265" t="str">
            <v>HYUNDAI/KIA</v>
          </cell>
          <cell r="D265">
            <v>1</v>
          </cell>
          <cell r="E265">
            <v>7143.22</v>
          </cell>
          <cell r="G265" t="str">
            <v>tatparts.ru</v>
          </cell>
          <cell r="H265">
            <v>7183</v>
          </cell>
          <cell r="I265">
            <v>6202</v>
          </cell>
          <cell r="J265">
            <v>6108.97</v>
          </cell>
        </row>
        <row r="266">
          <cell r="A266" t="str">
            <v>92405H0200</v>
          </cell>
          <cell r="B266" t="str">
            <v>Фонарь противотуманный задний левый</v>
          </cell>
          <cell r="C266" t="str">
            <v>HYUNDAI/KIA</v>
          </cell>
          <cell r="D266">
            <v>1</v>
          </cell>
          <cell r="E266">
            <v>7143.22</v>
          </cell>
          <cell r="G266" t="str">
            <v>tatparts.ru</v>
          </cell>
          <cell r="H266">
            <v>7183</v>
          </cell>
          <cell r="I266">
            <v>6202</v>
          </cell>
          <cell r="J266">
            <v>6108.97</v>
          </cell>
        </row>
        <row r="267">
          <cell r="A267" t="str">
            <v>92405H0200</v>
          </cell>
          <cell r="B267" t="str">
            <v>Фонарь противотуманный задний левый</v>
          </cell>
          <cell r="C267" t="str">
            <v>HYUNDAI/KIA</v>
          </cell>
          <cell r="D267">
            <v>1</v>
          </cell>
          <cell r="E267">
            <v>7143.22</v>
          </cell>
          <cell r="G267" t="str">
            <v>tatparts.ru</v>
          </cell>
          <cell r="H267">
            <v>7183</v>
          </cell>
          <cell r="I267">
            <v>6202</v>
          </cell>
          <cell r="J267">
            <v>6108.97</v>
          </cell>
        </row>
        <row r="268">
          <cell r="A268" t="str">
            <v>92405H0200</v>
          </cell>
          <cell r="B268" t="str">
            <v>Фонарь противотуманный задний левый</v>
          </cell>
          <cell r="C268" t="str">
            <v>HYUNDAI/KIA</v>
          </cell>
          <cell r="D268">
            <v>1</v>
          </cell>
          <cell r="E268">
            <v>7143.22</v>
          </cell>
          <cell r="G268" t="str">
            <v>tatparts.ru</v>
          </cell>
          <cell r="H268">
            <v>7183</v>
          </cell>
          <cell r="I268">
            <v>6202</v>
          </cell>
          <cell r="J268">
            <v>6108.97</v>
          </cell>
        </row>
        <row r="269">
          <cell r="A269" t="str">
            <v>92405H0200</v>
          </cell>
          <cell r="B269" t="str">
            <v>Фонарь противотуманный задний левый</v>
          </cell>
          <cell r="C269" t="str">
            <v>HYUNDAI/KIA</v>
          </cell>
          <cell r="D269">
            <v>1</v>
          </cell>
          <cell r="E269">
            <v>7143.22</v>
          </cell>
          <cell r="G269" t="str">
            <v>tatparts.ru</v>
          </cell>
          <cell r="H269">
            <v>7183</v>
          </cell>
          <cell r="I269">
            <v>6202</v>
          </cell>
          <cell r="J269">
            <v>6108.97</v>
          </cell>
        </row>
        <row r="270">
          <cell r="A270" t="str">
            <v>7276BGSR</v>
          </cell>
          <cell r="B270" t="str">
            <v>СТЕКЛО ЗАДНЕЕ</v>
          </cell>
          <cell r="C270" t="str">
            <v>КМК ГЛАСС</v>
          </cell>
          <cell r="D270">
            <v>1</v>
          </cell>
          <cell r="E270">
            <v>5500</v>
          </cell>
          <cell r="H270">
            <v>7137</v>
          </cell>
          <cell r="I270">
            <v>4792</v>
          </cell>
          <cell r="J270">
            <v>4720.12</v>
          </cell>
        </row>
        <row r="271">
          <cell r="A271" t="str">
            <v>57A945307</v>
          </cell>
          <cell r="B271" t="str">
            <v>Светодиодный задний фонарь Крышка багажного отсека</v>
          </cell>
          <cell r="C271" t="str">
            <v>VAG</v>
          </cell>
          <cell r="D271">
            <v>1</v>
          </cell>
          <cell r="E271">
            <v>2110.855</v>
          </cell>
          <cell r="G271" t="str">
            <v>автолига.рф</v>
          </cell>
          <cell r="H271">
            <v>7072</v>
          </cell>
          <cell r="I271">
            <v>2063</v>
          </cell>
          <cell r="J271">
            <v>2032.0550000000001</v>
          </cell>
        </row>
        <row r="272">
          <cell r="A272" t="str">
            <v>57A945307</v>
          </cell>
          <cell r="B272" t="str">
            <v>Светодиодный задний фонарь Крышка багажного отсека</v>
          </cell>
          <cell r="C272" t="str">
            <v>VAG</v>
          </cell>
          <cell r="D272">
            <v>3</v>
          </cell>
          <cell r="E272">
            <v>2110.855</v>
          </cell>
          <cell r="G272" t="str">
            <v>автолига.рф</v>
          </cell>
          <cell r="H272">
            <v>7013</v>
          </cell>
          <cell r="I272">
            <v>2063</v>
          </cell>
          <cell r="J272">
            <v>2032.0550000000001</v>
          </cell>
        </row>
        <row r="273">
          <cell r="A273" t="str">
            <v>57A945307</v>
          </cell>
          <cell r="B273" t="str">
            <v>Светодиодный задний фонарь Крышка багажного отсека</v>
          </cell>
          <cell r="C273" t="str">
            <v>VAG</v>
          </cell>
          <cell r="D273">
            <v>1</v>
          </cell>
          <cell r="E273">
            <v>2110.855</v>
          </cell>
          <cell r="G273" t="str">
            <v>автолига.рф</v>
          </cell>
          <cell r="H273">
            <v>7072</v>
          </cell>
          <cell r="I273">
            <v>2063</v>
          </cell>
          <cell r="J273">
            <v>2032.0550000000001</v>
          </cell>
        </row>
        <row r="274">
          <cell r="A274" t="str">
            <v>5311242340</v>
          </cell>
          <cell r="B274" t="str">
            <v>РЕШЕТКА РАДИАТОРА, RAV 4</v>
          </cell>
          <cell r="C274" t="str">
            <v>TOYOTA</v>
          </cell>
          <cell r="D274">
            <v>1</v>
          </cell>
          <cell r="E274">
            <v>4150</v>
          </cell>
          <cell r="G274" t="str">
            <v>автолига.рф</v>
          </cell>
          <cell r="H274">
            <v>7031</v>
          </cell>
          <cell r="I274">
            <v>4185</v>
          </cell>
          <cell r="J274">
            <v>4122.2250000000004</v>
          </cell>
        </row>
        <row r="275">
          <cell r="A275" t="str">
            <v>1373632</v>
          </cell>
          <cell r="B275" t="str">
            <v>ЮБКА ЗАДНЕГО БАМПЕРА</v>
          </cell>
          <cell r="C275" t="str">
            <v>FORD</v>
          </cell>
          <cell r="D275">
            <v>1</v>
          </cell>
          <cell r="E275">
            <v>6900</v>
          </cell>
          <cell r="G275" t="str">
            <v>tatparts.ru</v>
          </cell>
          <cell r="H275">
            <v>7003</v>
          </cell>
          <cell r="I275">
            <v>3196</v>
          </cell>
          <cell r="J275">
            <v>3148.06</v>
          </cell>
        </row>
        <row r="276">
          <cell r="A276" t="str">
            <v>57A945308</v>
          </cell>
          <cell r="B276" t="str">
            <v>Светодиодный задний фонарь Крышка багажного отсека</v>
          </cell>
          <cell r="C276" t="str">
            <v>VAG</v>
          </cell>
          <cell r="D276">
            <v>1</v>
          </cell>
          <cell r="E276">
            <v>1888.2449999999999</v>
          </cell>
          <cell r="G276" t="str">
            <v>автолига.рф</v>
          </cell>
          <cell r="H276">
            <v>7002</v>
          </cell>
          <cell r="I276">
            <v>1739</v>
          </cell>
          <cell r="J276">
            <v>1712.915</v>
          </cell>
        </row>
        <row r="277">
          <cell r="A277" t="str">
            <v>57A945308</v>
          </cell>
          <cell r="B277" t="str">
            <v>Светодиодный задний фонарь Крышка багажного отсека</v>
          </cell>
          <cell r="C277" t="str">
            <v>VAG</v>
          </cell>
          <cell r="D277">
            <v>2</v>
          </cell>
          <cell r="E277">
            <v>1888.2449999999999</v>
          </cell>
          <cell r="G277" t="str">
            <v>автолига.рф</v>
          </cell>
          <cell r="H277">
            <v>7002</v>
          </cell>
          <cell r="I277">
            <v>1739</v>
          </cell>
          <cell r="J277">
            <v>1712.915</v>
          </cell>
        </row>
        <row r="278">
          <cell r="A278" t="str">
            <v>8158142151</v>
          </cell>
          <cell r="B278" t="str">
            <v>ФОНАРЬ ЗАДНИЙ ПРАВЫЙ НА КРЫШКЕ БАГАЖНИКА Rav4 V</v>
          </cell>
          <cell r="C278" t="str">
            <v>TOYOTA</v>
          </cell>
          <cell r="D278">
            <v>2</v>
          </cell>
          <cell r="E278">
            <v>7100</v>
          </cell>
          <cell r="G278" t="str">
            <v>tatparts.ru</v>
          </cell>
          <cell r="H278">
            <v>6995</v>
          </cell>
          <cell r="I278">
            <v>4060</v>
          </cell>
          <cell r="J278">
            <v>3999.1</v>
          </cell>
        </row>
        <row r="279">
          <cell r="A279" t="str">
            <v>8158142151</v>
          </cell>
          <cell r="B279" t="str">
            <v>ФОНАРЬ ЗАДНИЙ ПРАВЫЙ НА КРЫШКЕ БАГАЖНИКА Rav4 V</v>
          </cell>
          <cell r="C279" t="str">
            <v>TOYOTA</v>
          </cell>
          <cell r="D279">
            <v>1</v>
          </cell>
          <cell r="E279">
            <v>7100</v>
          </cell>
          <cell r="G279" t="str">
            <v>tatparts.ru</v>
          </cell>
          <cell r="H279">
            <v>4366</v>
          </cell>
          <cell r="I279">
            <v>4060</v>
          </cell>
          <cell r="J279">
            <v>3999.1</v>
          </cell>
        </row>
        <row r="280">
          <cell r="A280" t="str">
            <v>8158142151</v>
          </cell>
          <cell r="B280" t="str">
            <v>ФОНАРЬ ЗАДНИЙ ПРАВЫЙ НА КРЫШКЕ БАГАЖНИКА Rav4 V</v>
          </cell>
          <cell r="C280" t="str">
            <v>TOYOTA</v>
          </cell>
          <cell r="D280">
            <v>1</v>
          </cell>
          <cell r="E280">
            <v>7100</v>
          </cell>
          <cell r="G280" t="str">
            <v>tatparts.ru</v>
          </cell>
          <cell r="H280">
            <v>8349</v>
          </cell>
          <cell r="I280">
            <v>4060</v>
          </cell>
          <cell r="J280">
            <v>3999.1</v>
          </cell>
        </row>
        <row r="281">
          <cell r="A281" t="str">
            <v>8158142151</v>
          </cell>
          <cell r="B281" t="str">
            <v>ФОНАРЬ ЗАДНИЙ ПРАВЫЙ НА КРЫШКЕ БАГАЖНИКА Rav4 V</v>
          </cell>
          <cell r="C281" t="str">
            <v>TOYOTA</v>
          </cell>
          <cell r="D281">
            <v>1</v>
          </cell>
          <cell r="E281">
            <v>7100</v>
          </cell>
          <cell r="G281" t="str">
            <v>tatparts.ru</v>
          </cell>
          <cell r="H281">
            <v>10019</v>
          </cell>
          <cell r="I281">
            <v>4060</v>
          </cell>
          <cell r="J281">
            <v>3999.1</v>
          </cell>
        </row>
        <row r="282">
          <cell r="A282" t="str">
            <v>8158142151</v>
          </cell>
          <cell r="B282" t="str">
            <v>ФОНАРЬ ЗАДНИЙ ПРАВЫЙ НА КРЫШКЕ БАГАЖНИКА Rav4 V</v>
          </cell>
          <cell r="C282" t="str">
            <v>TOYOTA</v>
          </cell>
          <cell r="D282">
            <v>1</v>
          </cell>
          <cell r="E282">
            <v>7100</v>
          </cell>
          <cell r="G282" t="str">
            <v>tatparts.ru</v>
          </cell>
          <cell r="H282">
            <v>6995</v>
          </cell>
          <cell r="I282">
            <v>4060</v>
          </cell>
          <cell r="J282">
            <v>3999.1</v>
          </cell>
        </row>
        <row r="283">
          <cell r="A283" t="str">
            <v>6452033081</v>
          </cell>
          <cell r="B283" t="str">
            <v>ПЕТЛЯ БАГАЖНИКА</v>
          </cell>
          <cell r="C283" t="str">
            <v>TOYOTA</v>
          </cell>
          <cell r="D283">
            <v>1</v>
          </cell>
          <cell r="E283">
            <v>4951.5950000000003</v>
          </cell>
          <cell r="G283" t="str">
            <v>tatparts.ru</v>
          </cell>
          <cell r="H283">
            <v>6886</v>
          </cell>
          <cell r="I283">
            <v>3588</v>
          </cell>
          <cell r="J283">
            <v>3534.18</v>
          </cell>
        </row>
        <row r="284">
          <cell r="A284" t="str">
            <v>60U867014A CGQD</v>
          </cell>
          <cell r="B284" t="str">
            <v>Обивка передней правой двери</v>
          </cell>
          <cell r="C284" t="str">
            <v>VAG</v>
          </cell>
          <cell r="D284">
            <v>1</v>
          </cell>
          <cell r="E284">
            <v>6445</v>
          </cell>
          <cell r="G284" t="str">
            <v>автолига.рф</v>
          </cell>
          <cell r="H284">
            <v>6846</v>
          </cell>
          <cell r="I284">
            <v>6542</v>
          </cell>
          <cell r="J284">
            <v>6443.87</v>
          </cell>
        </row>
        <row r="285">
          <cell r="A285" t="str">
            <v>281904Y000</v>
          </cell>
          <cell r="B285" t="str">
            <v>Резонатор воздушного фильтра</v>
          </cell>
          <cell r="C285" t="str">
            <v>HYUNDAI/KIA</v>
          </cell>
          <cell r="D285">
            <v>1</v>
          </cell>
          <cell r="E285">
            <v>5850</v>
          </cell>
          <cell r="G285" t="str">
            <v>автолига.рф</v>
          </cell>
          <cell r="H285">
            <v>6668</v>
          </cell>
          <cell r="I285">
            <v>5936</v>
          </cell>
          <cell r="J285">
            <v>5846.96</v>
          </cell>
        </row>
        <row r="286">
          <cell r="A286" t="str">
            <v>281904Y000</v>
          </cell>
          <cell r="B286" t="str">
            <v>Резонатор воздушного фильтра</v>
          </cell>
          <cell r="C286" t="str">
            <v>HYUNDAI/KIA</v>
          </cell>
          <cell r="D286">
            <v>1</v>
          </cell>
          <cell r="E286">
            <v>5850</v>
          </cell>
          <cell r="G286" t="str">
            <v>автолига.рф</v>
          </cell>
          <cell r="H286">
            <v>6668</v>
          </cell>
          <cell r="I286">
            <v>5936</v>
          </cell>
          <cell r="J286">
            <v>5846.96</v>
          </cell>
        </row>
        <row r="287">
          <cell r="A287" t="str">
            <v>2H6853294A GRU</v>
          </cell>
          <cell r="B287" t="str">
            <v>Кронштейн кузова правый</v>
          </cell>
          <cell r="C287" t="str">
            <v>VAG</v>
          </cell>
          <cell r="D287">
            <v>1</v>
          </cell>
          <cell r="E287">
            <v>2300</v>
          </cell>
          <cell r="G287" t="str">
            <v>автолига.рф</v>
          </cell>
          <cell r="H287">
            <v>6633</v>
          </cell>
          <cell r="I287">
            <v>2331</v>
          </cell>
          <cell r="J287">
            <v>2296.0349999999999</v>
          </cell>
        </row>
        <row r="288">
          <cell r="A288" t="str">
            <v>214768980R</v>
          </cell>
          <cell r="B288" t="str">
            <v>Кронштейн радиатора лев</v>
          </cell>
          <cell r="C288" t="str">
            <v>RENAULT</v>
          </cell>
          <cell r="D288">
            <v>1</v>
          </cell>
          <cell r="E288">
            <v>1024.4000000000001</v>
          </cell>
          <cell r="G288" t="str">
            <v>tatparts.ru</v>
          </cell>
          <cell r="H288">
            <v>6589</v>
          </cell>
          <cell r="I288">
            <v>721</v>
          </cell>
          <cell r="J288">
            <v>710.18499999999995</v>
          </cell>
        </row>
        <row r="289">
          <cell r="A289" t="str">
            <v>1867569</v>
          </cell>
          <cell r="B289" t="str">
            <v>НАКЛАДКА БАМПЕРА ПРАВАЯ</v>
          </cell>
          <cell r="C289" t="str">
            <v>FORD</v>
          </cell>
          <cell r="D289">
            <v>1</v>
          </cell>
          <cell r="E289">
            <v>5045</v>
          </cell>
          <cell r="G289" t="str">
            <v>автолига.рф</v>
          </cell>
          <cell r="H289">
            <v>6582</v>
          </cell>
          <cell r="I289">
            <v>5079</v>
          </cell>
          <cell r="J289">
            <v>5002.8149999999996</v>
          </cell>
        </row>
        <row r="290">
          <cell r="A290" t="str">
            <v>61280SJ020</v>
          </cell>
          <cell r="B290" t="str">
            <v>МОЛДИНГ ДВЕРИ</v>
          </cell>
          <cell r="C290" t="str">
            <v>SUBARU</v>
          </cell>
          <cell r="D290">
            <v>1</v>
          </cell>
          <cell r="E290">
            <v>4715.1949999999997</v>
          </cell>
          <cell r="G290" t="str">
            <v>автолига.рф</v>
          </cell>
          <cell r="H290">
            <v>6507</v>
          </cell>
          <cell r="I290">
            <v>4767</v>
          </cell>
          <cell r="J290">
            <v>4695.4949999999999</v>
          </cell>
        </row>
        <row r="291">
          <cell r="A291" t="str">
            <v>7088078600742</v>
          </cell>
          <cell r="B291" t="str">
            <v>Датчик парковочного радара</v>
          </cell>
          <cell r="C291" t="str">
            <v>GEELY</v>
          </cell>
          <cell r="D291">
            <v>1</v>
          </cell>
          <cell r="E291">
            <v>14188.924999999999</v>
          </cell>
          <cell r="G291" t="str">
            <v>автолига.рф</v>
          </cell>
          <cell r="H291">
            <v>6364</v>
          </cell>
          <cell r="I291">
            <v>1054</v>
          </cell>
          <cell r="J291">
            <v>1038.19</v>
          </cell>
        </row>
        <row r="292">
          <cell r="A292" t="str">
            <v>7088078600742</v>
          </cell>
          <cell r="B292" t="str">
            <v>Датчик парковочного радара</v>
          </cell>
          <cell r="C292" t="str">
            <v>GEELY</v>
          </cell>
          <cell r="D292">
            <v>2</v>
          </cell>
          <cell r="E292">
            <v>14188.924999999999</v>
          </cell>
          <cell r="G292" t="str">
            <v>автолига.рф</v>
          </cell>
          <cell r="H292">
            <v>6364</v>
          </cell>
          <cell r="I292">
            <v>1054</v>
          </cell>
          <cell r="J292">
            <v>1038.19</v>
          </cell>
        </row>
        <row r="293">
          <cell r="A293" t="str">
            <v>7088078600742</v>
          </cell>
          <cell r="B293" t="str">
            <v>Датчик парковочного радара</v>
          </cell>
          <cell r="C293" t="str">
            <v>GEELY</v>
          </cell>
          <cell r="D293">
            <v>1</v>
          </cell>
          <cell r="E293">
            <v>14188.924999999999</v>
          </cell>
          <cell r="G293" t="str">
            <v>автолига.рф</v>
          </cell>
          <cell r="H293">
            <v>6364</v>
          </cell>
          <cell r="I293">
            <v>1054</v>
          </cell>
          <cell r="J293">
            <v>1038.19</v>
          </cell>
        </row>
        <row r="294">
          <cell r="A294" t="str">
            <v>2351104LLDE</v>
          </cell>
          <cell r="B294" t="str">
            <v>ФАРА L</v>
          </cell>
          <cell r="C294" t="str">
            <v>DEPO</v>
          </cell>
          <cell r="D294">
            <v>1</v>
          </cell>
          <cell r="E294">
            <v>5510</v>
          </cell>
          <cell r="G294" t="str">
            <v>автолига.рф</v>
          </cell>
          <cell r="H294">
            <v>6317</v>
          </cell>
          <cell r="I294">
            <v>5587</v>
          </cell>
          <cell r="J294">
            <v>5503.1949999999997</v>
          </cell>
        </row>
        <row r="295">
          <cell r="A295" t="str">
            <v>5241148030</v>
          </cell>
          <cell r="B295" t="str">
            <v>НАКЛАДКА ПЕРЕДНЕГО БАМПЕРА</v>
          </cell>
          <cell r="C295" t="str">
            <v>TOYOTA</v>
          </cell>
          <cell r="D295">
            <v>1</v>
          </cell>
          <cell r="E295">
            <v>3444.5450000000001</v>
          </cell>
          <cell r="G295" t="str">
            <v>автолига.рф</v>
          </cell>
          <cell r="H295">
            <v>6313</v>
          </cell>
          <cell r="I295">
            <v>3497</v>
          </cell>
          <cell r="J295">
            <v>3444.5450000000001</v>
          </cell>
        </row>
        <row r="296">
          <cell r="A296" t="str">
            <v>5241148030</v>
          </cell>
          <cell r="B296" t="str">
            <v>НАКЛАДКА ПЕРЕДНЕГО БАМПЕРА</v>
          </cell>
          <cell r="C296" t="str">
            <v>TOYOTA</v>
          </cell>
          <cell r="D296">
            <v>1</v>
          </cell>
          <cell r="E296">
            <v>3780</v>
          </cell>
          <cell r="G296" t="str">
            <v>tatparts.ru</v>
          </cell>
          <cell r="H296">
            <v>4239</v>
          </cell>
          <cell r="I296">
            <v>3835</v>
          </cell>
          <cell r="J296">
            <v>3777.4749999999999</v>
          </cell>
        </row>
        <row r="297">
          <cell r="A297" t="str">
            <v>92201H0000</v>
          </cell>
          <cell r="B297" t="str">
            <v>Фара противотуманная левая</v>
          </cell>
          <cell r="C297" t="str">
            <v>HYUNDAI/KIA</v>
          </cell>
          <cell r="D297">
            <v>1</v>
          </cell>
          <cell r="E297">
            <v>6588.665</v>
          </cell>
          <cell r="G297" t="str">
            <v>автолига.рф</v>
          </cell>
          <cell r="H297">
            <v>6293</v>
          </cell>
          <cell r="I297">
            <v>5939</v>
          </cell>
          <cell r="J297">
            <v>5849.915</v>
          </cell>
        </row>
        <row r="298">
          <cell r="A298" t="str">
            <v>57A854950  9B9</v>
          </cell>
          <cell r="B298" t="str">
            <v>Молдинг двери задней правой</v>
          </cell>
          <cell r="C298" t="str">
            <v>VAG</v>
          </cell>
          <cell r="D298">
            <v>3</v>
          </cell>
          <cell r="E298">
            <v>3471.1695500000001</v>
          </cell>
          <cell r="G298" t="str">
            <v>tatparts.ru</v>
          </cell>
          <cell r="H298">
            <v>6284</v>
          </cell>
          <cell r="I298">
            <v>2879</v>
          </cell>
          <cell r="J298">
            <v>2835.8150000000001</v>
          </cell>
        </row>
        <row r="299">
          <cell r="A299" t="str">
            <v>57A854950  9B9</v>
          </cell>
          <cell r="B299" t="str">
            <v>Молдинг двери задней правой</v>
          </cell>
          <cell r="C299" t="str">
            <v>VAG</v>
          </cell>
          <cell r="D299">
            <v>1</v>
          </cell>
          <cell r="E299">
            <v>3471.1695500000001</v>
          </cell>
          <cell r="G299" t="str">
            <v>tatparts.ru</v>
          </cell>
          <cell r="H299">
            <v>6284</v>
          </cell>
          <cell r="I299">
            <v>2879</v>
          </cell>
          <cell r="J299">
            <v>2835.8150000000001</v>
          </cell>
        </row>
        <row r="300">
          <cell r="A300" t="str">
            <v>57A854950  9B9</v>
          </cell>
          <cell r="B300" t="str">
            <v>Молдинг двери задней правой</v>
          </cell>
          <cell r="C300" t="str">
            <v>VAG</v>
          </cell>
          <cell r="D300">
            <v>2</v>
          </cell>
          <cell r="E300">
            <v>3471.1695500000001</v>
          </cell>
          <cell r="G300" t="str">
            <v>tatparts.ru</v>
          </cell>
          <cell r="H300">
            <v>6095</v>
          </cell>
          <cell r="I300">
            <v>2879</v>
          </cell>
          <cell r="J300">
            <v>2835.8150000000001</v>
          </cell>
        </row>
        <row r="301">
          <cell r="A301" t="str">
            <v>57A854950  9B9</v>
          </cell>
          <cell r="B301" t="str">
            <v>Молдинг двери задней правой</v>
          </cell>
          <cell r="C301" t="str">
            <v>VAG</v>
          </cell>
          <cell r="D301">
            <v>2</v>
          </cell>
          <cell r="E301">
            <v>3471.1695500000001</v>
          </cell>
          <cell r="G301" t="str">
            <v>tatparts.ru</v>
          </cell>
          <cell r="H301">
            <v>6205</v>
          </cell>
          <cell r="I301">
            <v>2879</v>
          </cell>
          <cell r="J301">
            <v>2835.8150000000001</v>
          </cell>
        </row>
        <row r="302">
          <cell r="A302" t="str">
            <v>57A854950  9B9</v>
          </cell>
          <cell r="B302" t="str">
            <v>Молдинг двери задней правой</v>
          </cell>
          <cell r="C302" t="str">
            <v>VAG</v>
          </cell>
          <cell r="D302">
            <v>1</v>
          </cell>
          <cell r="E302">
            <v>3471.1695500000001</v>
          </cell>
          <cell r="G302" t="str">
            <v>tatparts.ru</v>
          </cell>
          <cell r="H302">
            <v>6205</v>
          </cell>
          <cell r="I302">
            <v>2879</v>
          </cell>
          <cell r="J302">
            <v>2835.8150000000001</v>
          </cell>
        </row>
        <row r="303">
          <cell r="A303" t="str">
            <v>85710A6400RY</v>
          </cell>
          <cell r="B303" t="str">
            <v>Настил пола багажника</v>
          </cell>
          <cell r="C303" t="str">
            <v>HYUNDAI/KIA</v>
          </cell>
          <cell r="D303">
            <v>1</v>
          </cell>
          <cell r="E303">
            <v>7469.6687000000002</v>
          </cell>
          <cell r="G303" t="str">
            <v>tatparts.ru</v>
          </cell>
          <cell r="H303">
            <v>6196</v>
          </cell>
          <cell r="I303">
            <v>4332</v>
          </cell>
          <cell r="J303">
            <v>4267.0199999999995</v>
          </cell>
        </row>
        <row r="304">
          <cell r="A304" t="str">
            <v>85710A6400RY</v>
          </cell>
          <cell r="B304" t="str">
            <v>Настил пола багажника</v>
          </cell>
          <cell r="C304" t="str">
            <v>HYUNDAI/KIA</v>
          </cell>
          <cell r="D304">
            <v>1</v>
          </cell>
          <cell r="E304">
            <v>7469.6687000000002</v>
          </cell>
          <cell r="G304" t="str">
            <v>tatparts.ru</v>
          </cell>
          <cell r="H304">
            <v>5741</v>
          </cell>
          <cell r="I304">
            <v>4332</v>
          </cell>
          <cell r="J304">
            <v>4267.0199999999995</v>
          </cell>
        </row>
        <row r="305">
          <cell r="A305" t="str">
            <v>83520M0000</v>
          </cell>
          <cell r="B305" t="str">
            <v>Направляющая стекла двери</v>
          </cell>
          <cell r="C305" t="str">
            <v>HYUNDAI/KIA</v>
          </cell>
          <cell r="D305">
            <v>1</v>
          </cell>
          <cell r="E305">
            <v>2398</v>
          </cell>
          <cell r="G305" t="str">
            <v>автолига.рф</v>
          </cell>
          <cell r="H305">
            <v>6121</v>
          </cell>
          <cell r="I305">
            <v>2352</v>
          </cell>
          <cell r="J305">
            <v>2316.7199999999998</v>
          </cell>
        </row>
        <row r="306">
          <cell r="A306" t="str">
            <v>93013SG050</v>
          </cell>
          <cell r="B306" t="str">
            <v>ЭМБЛЕМА</v>
          </cell>
          <cell r="C306" t="str">
            <v>SUBARU</v>
          </cell>
          <cell r="D306">
            <v>1</v>
          </cell>
          <cell r="E306">
            <v>3550</v>
          </cell>
          <cell r="G306" t="str">
            <v>автолига.рф</v>
          </cell>
          <cell r="H306">
            <v>5969</v>
          </cell>
          <cell r="I306">
            <v>3556</v>
          </cell>
          <cell r="J306">
            <v>3502.66</v>
          </cell>
        </row>
        <row r="307">
          <cell r="A307" t="str">
            <v>83130J7000</v>
          </cell>
          <cell r="B307" t="str">
            <v>Уплотнитель двери задн лев</v>
          </cell>
          <cell r="C307" t="str">
            <v>HYUNDAI/KIA</v>
          </cell>
          <cell r="D307">
            <v>1</v>
          </cell>
          <cell r="E307">
            <v>5250</v>
          </cell>
          <cell r="G307" t="str">
            <v>автолига.рф</v>
          </cell>
          <cell r="H307">
            <v>5949</v>
          </cell>
          <cell r="I307">
            <v>5279</v>
          </cell>
          <cell r="J307">
            <v>5199.8149999999996</v>
          </cell>
        </row>
        <row r="308">
          <cell r="A308" t="str">
            <v>8450007421</v>
          </cell>
          <cell r="B308" t="str">
            <v>Щиток панели приборов Vesta</v>
          </cell>
          <cell r="C308" t="str">
            <v>LADA</v>
          </cell>
          <cell r="D308">
            <v>1</v>
          </cell>
          <cell r="E308">
            <v>450</v>
          </cell>
          <cell r="G308" t="str">
            <v>tatparts.ru</v>
          </cell>
          <cell r="H308">
            <v>5899</v>
          </cell>
          <cell r="I308">
            <v>390</v>
          </cell>
          <cell r="J308">
            <v>384.15</v>
          </cell>
        </row>
        <row r="309">
          <cell r="A309" t="str">
            <v>57A854949  9B9</v>
          </cell>
          <cell r="B309" t="str">
            <v>Молдинг двери левой задней</v>
          </cell>
          <cell r="C309" t="str">
            <v>VAG</v>
          </cell>
          <cell r="D309">
            <v>1</v>
          </cell>
          <cell r="E309">
            <v>1650</v>
          </cell>
          <cell r="G309" t="str">
            <v>автолига.рф</v>
          </cell>
          <cell r="H309">
            <v>5889</v>
          </cell>
          <cell r="I309">
            <v>1103</v>
          </cell>
          <cell r="J309">
            <v>1086.4549999999999</v>
          </cell>
        </row>
        <row r="310">
          <cell r="A310" t="str">
            <v>801868261R</v>
          </cell>
          <cell r="B310" t="str">
            <v>МОЛДИНГ ДВЕРИ ПЕР. ПРАВ. (ПЛАС)</v>
          </cell>
          <cell r="C310" t="str">
            <v>RENAULT</v>
          </cell>
          <cell r="D310">
            <v>1</v>
          </cell>
          <cell r="E310">
            <v>9304.31</v>
          </cell>
          <cell r="G310" t="str">
            <v>tatparts.ru</v>
          </cell>
          <cell r="H310">
            <v>5873</v>
          </cell>
          <cell r="I310">
            <v>3569</v>
          </cell>
          <cell r="J310">
            <v>3515.4650000000001</v>
          </cell>
        </row>
        <row r="311">
          <cell r="A311" t="str">
            <v>5JA941701A</v>
          </cell>
          <cell r="B311" t="str">
            <v>ФАРА ПРОТИВОТУМАННАЯ</v>
          </cell>
          <cell r="C311" t="str">
            <v>VAG</v>
          </cell>
          <cell r="D311">
            <v>2</v>
          </cell>
          <cell r="E311">
            <v>4900</v>
          </cell>
          <cell r="G311" t="str">
            <v>tatparts.ru</v>
          </cell>
          <cell r="H311">
            <v>5844</v>
          </cell>
          <cell r="I311">
            <v>4741</v>
          </cell>
          <cell r="J311">
            <v>4669.8850000000002</v>
          </cell>
        </row>
        <row r="312">
          <cell r="A312" t="str">
            <v>727525JG0AL013</v>
          </cell>
          <cell r="B312" t="str">
            <v>Молдинг лобового стекла</v>
          </cell>
          <cell r="C312" t="str">
            <v>DONGFENG</v>
          </cell>
          <cell r="D312">
            <v>1</v>
          </cell>
          <cell r="E312">
            <v>2960</v>
          </cell>
          <cell r="G312" t="str">
            <v>автолига.рф</v>
          </cell>
          <cell r="H312">
            <v>5800</v>
          </cell>
          <cell r="I312">
            <v>2987</v>
          </cell>
          <cell r="J312">
            <v>2942.1950000000002</v>
          </cell>
        </row>
        <row r="313">
          <cell r="A313" t="str">
            <v>60U867013G CCI</v>
          </cell>
          <cell r="B313" t="str">
            <v>Обивка передней левой двери</v>
          </cell>
          <cell r="C313" t="str">
            <v>VAG</v>
          </cell>
          <cell r="D313">
            <v>1</v>
          </cell>
          <cell r="E313">
            <v>1670</v>
          </cell>
          <cell r="G313" t="str">
            <v>автолига.рф</v>
          </cell>
          <cell r="H313">
            <v>5756</v>
          </cell>
          <cell r="I313">
            <v>1690</v>
          </cell>
          <cell r="J313">
            <v>1664.65</v>
          </cell>
        </row>
        <row r="314">
          <cell r="A314" t="str">
            <v>M92803011402</v>
          </cell>
          <cell r="B314" t="str">
            <v>Решетка радиатора</v>
          </cell>
          <cell r="C314" t="str">
            <v>Технопласт</v>
          </cell>
          <cell r="D314">
            <v>1</v>
          </cell>
          <cell r="E314">
            <v>7094.8269499999997</v>
          </cell>
          <cell r="G314" t="str">
            <v>tatparts.ru</v>
          </cell>
          <cell r="H314">
            <v>5753</v>
          </cell>
          <cell r="I314">
            <v>4319</v>
          </cell>
          <cell r="J314">
            <v>4254.2150000000001</v>
          </cell>
        </row>
        <row r="315">
          <cell r="A315" t="str">
            <v>4M8839249</v>
          </cell>
          <cell r="B315" t="str">
            <v>Ограничитель открывания двери</v>
          </cell>
          <cell r="C315" t="str">
            <v>VAG</v>
          </cell>
          <cell r="D315">
            <v>1</v>
          </cell>
          <cell r="E315">
            <v>4450</v>
          </cell>
          <cell r="G315" t="str">
            <v>автолига.рф</v>
          </cell>
          <cell r="H315">
            <v>5552</v>
          </cell>
          <cell r="I315">
            <v>4412</v>
          </cell>
          <cell r="J315">
            <v>4345.82</v>
          </cell>
        </row>
        <row r="316">
          <cell r="A316" t="str">
            <v>6451033191</v>
          </cell>
          <cell r="B316" t="str">
            <v>ПЕТЛЯ БАГАЖНИКА ПРАВАЯ</v>
          </cell>
          <cell r="C316" t="str">
            <v>TOYOTA</v>
          </cell>
          <cell r="D316">
            <v>1</v>
          </cell>
          <cell r="E316">
            <v>2852.56</v>
          </cell>
          <cell r="G316" t="str">
            <v>автолига.рф</v>
          </cell>
          <cell r="H316">
            <v>5449</v>
          </cell>
          <cell r="I316">
            <v>2896</v>
          </cell>
          <cell r="J316">
            <v>2852.56</v>
          </cell>
        </row>
        <row r="317">
          <cell r="A317" t="str">
            <v>86523H0500</v>
          </cell>
          <cell r="B317" t="str">
            <v>Накладка противотуманной фары левая</v>
          </cell>
          <cell r="C317" t="str">
            <v>HYUNDAI/KIA</v>
          </cell>
          <cell r="D317">
            <v>1</v>
          </cell>
          <cell r="E317">
            <v>1665</v>
          </cell>
          <cell r="G317" t="str">
            <v>автолига.рф</v>
          </cell>
          <cell r="H317">
            <v>5442</v>
          </cell>
          <cell r="I317">
            <v>1683</v>
          </cell>
          <cell r="J317">
            <v>1657.7549999999999</v>
          </cell>
        </row>
        <row r="318">
          <cell r="A318" t="str">
            <v>86523H0500</v>
          </cell>
          <cell r="B318" t="str">
            <v>Накладка противотуманной фары левая</v>
          </cell>
          <cell r="C318" t="str">
            <v>HYUNDAI/KIA</v>
          </cell>
          <cell r="D318">
            <v>17</v>
          </cell>
          <cell r="E318">
            <v>1665</v>
          </cell>
          <cell r="G318" t="str">
            <v>автолига.рф</v>
          </cell>
          <cell r="H318">
            <v>1764</v>
          </cell>
          <cell r="I318">
            <v>1683</v>
          </cell>
          <cell r="J318">
            <v>1657.7549999999999</v>
          </cell>
        </row>
        <row r="319">
          <cell r="A319" t="str">
            <v>86523H0500</v>
          </cell>
          <cell r="B319" t="str">
            <v>Накладка противотуманной фары левая</v>
          </cell>
          <cell r="C319" t="str">
            <v>HYUNDAI/KIA</v>
          </cell>
          <cell r="D319">
            <v>3</v>
          </cell>
          <cell r="E319">
            <v>1665</v>
          </cell>
          <cell r="G319" t="str">
            <v>автолига.рф</v>
          </cell>
          <cell r="H319">
            <v>5442</v>
          </cell>
          <cell r="I319">
            <v>1683</v>
          </cell>
          <cell r="J319">
            <v>1657.7549999999999</v>
          </cell>
        </row>
        <row r="320">
          <cell r="A320" t="str">
            <v>86523H0500</v>
          </cell>
          <cell r="B320" t="str">
            <v>Накладка противотуманной фары левая</v>
          </cell>
          <cell r="C320" t="str">
            <v>HYUNDAI/KIA</v>
          </cell>
          <cell r="D320">
            <v>1</v>
          </cell>
          <cell r="E320">
            <v>1665</v>
          </cell>
          <cell r="G320" t="str">
            <v>автолига.рф</v>
          </cell>
          <cell r="H320">
            <v>5442</v>
          </cell>
          <cell r="I320">
            <v>1683</v>
          </cell>
          <cell r="J320">
            <v>1657.7549999999999</v>
          </cell>
        </row>
        <row r="321">
          <cell r="A321" t="str">
            <v>86523H0510</v>
          </cell>
          <cell r="B321" t="str">
            <v>Накладка противотуманной фары левая</v>
          </cell>
          <cell r="C321" t="str">
            <v>HYUNDAI/KIA</v>
          </cell>
          <cell r="D321">
            <v>3</v>
          </cell>
          <cell r="E321">
            <v>3344.0749999999998</v>
          </cell>
          <cell r="G321" t="str">
            <v>tatparts.ru</v>
          </cell>
          <cell r="H321">
            <v>5442</v>
          </cell>
          <cell r="I321">
            <v>593</v>
          </cell>
          <cell r="J321">
            <v>584.10500000000002</v>
          </cell>
        </row>
        <row r="322">
          <cell r="A322" t="str">
            <v>86523H0510</v>
          </cell>
          <cell r="B322" t="str">
            <v>Накладка противотуманной фары левая</v>
          </cell>
          <cell r="C322" t="str">
            <v>HYUNDAI/KIA</v>
          </cell>
          <cell r="D322">
            <v>1</v>
          </cell>
          <cell r="E322">
            <v>3344.0749999999998</v>
          </cell>
          <cell r="G322" t="str">
            <v>tatparts.ru</v>
          </cell>
          <cell r="H322">
            <v>5442</v>
          </cell>
          <cell r="I322">
            <v>593</v>
          </cell>
          <cell r="J322">
            <v>584.10500000000002</v>
          </cell>
        </row>
        <row r="323">
          <cell r="A323" t="str">
            <v>51217396306</v>
          </cell>
          <cell r="B323" t="str">
            <v>Ручка двери наружная правая</v>
          </cell>
          <cell r="C323" t="str">
            <v>BMW</v>
          </cell>
          <cell r="D323">
            <v>1</v>
          </cell>
          <cell r="E323">
            <v>6541.3850000000002</v>
          </cell>
          <cell r="G323" t="str">
            <v>tatparts.ru</v>
          </cell>
          <cell r="H323">
            <v>5360</v>
          </cell>
          <cell r="I323">
            <v>769</v>
          </cell>
          <cell r="J323">
            <v>757.46500000000003</v>
          </cell>
        </row>
        <row r="324">
          <cell r="A324" t="str">
            <v>92405A7500</v>
          </cell>
          <cell r="B324" t="str">
            <v>Отражатель заднего бампера левый</v>
          </cell>
          <cell r="C324" t="str">
            <v>HYUNDAI/KIA</v>
          </cell>
          <cell r="D324">
            <v>1</v>
          </cell>
          <cell r="E324">
            <v>4500</v>
          </cell>
          <cell r="G324" t="str">
            <v>tatparts.ru</v>
          </cell>
          <cell r="H324">
            <v>5337</v>
          </cell>
          <cell r="I324">
            <v>1411</v>
          </cell>
          <cell r="J324">
            <v>1389.835</v>
          </cell>
        </row>
        <row r="325">
          <cell r="A325" t="str">
            <v>6RU810972A</v>
          </cell>
          <cell r="B325" t="str">
            <v>Локер колесной арки</v>
          </cell>
          <cell r="C325" t="str">
            <v>VAG</v>
          </cell>
          <cell r="D325">
            <v>2</v>
          </cell>
          <cell r="E325">
            <v>1225</v>
          </cell>
          <cell r="G325" t="str">
            <v>автолига.рф</v>
          </cell>
          <cell r="H325">
            <v>5294</v>
          </cell>
          <cell r="I325">
            <v>1238</v>
          </cell>
          <cell r="J325">
            <v>1219.43</v>
          </cell>
        </row>
        <row r="326">
          <cell r="A326" t="str">
            <v>86821M0100</v>
          </cell>
          <cell r="B326" t="str">
            <v>Подкрылок задний левый</v>
          </cell>
          <cell r="C326" t="str">
            <v>HYUNDAI/KIA</v>
          </cell>
          <cell r="D326">
            <v>1</v>
          </cell>
          <cell r="E326">
            <v>4845</v>
          </cell>
          <cell r="G326" t="str">
            <v>автолига.рф</v>
          </cell>
          <cell r="H326">
            <v>5225</v>
          </cell>
          <cell r="I326">
            <v>4914</v>
          </cell>
          <cell r="J326">
            <v>4840.29</v>
          </cell>
        </row>
        <row r="327">
          <cell r="A327" t="str">
            <v xml:space="preserve">69910L2000 </v>
          </cell>
          <cell r="B327" t="str">
            <v>Петля крышки багажника левая</v>
          </cell>
          <cell r="C327" t="str">
            <v>HYUNDAI/KIA</v>
          </cell>
          <cell r="D327">
            <v>1</v>
          </cell>
          <cell r="E327">
            <v>2400</v>
          </cell>
          <cell r="G327" t="str">
            <v>tatparts.ru</v>
          </cell>
          <cell r="H327">
            <v>5164</v>
          </cell>
          <cell r="I327">
            <v>2363</v>
          </cell>
          <cell r="J327">
            <v>2327.5549999999998</v>
          </cell>
        </row>
        <row r="328">
          <cell r="A328" t="str">
            <v xml:space="preserve">69920L2000 </v>
          </cell>
          <cell r="B328" t="str">
            <v>Петля крышки багажника правая</v>
          </cell>
          <cell r="C328" t="str">
            <v>HYUNDAI/KIA</v>
          </cell>
          <cell r="D328">
            <v>1</v>
          </cell>
          <cell r="E328">
            <v>3500</v>
          </cell>
          <cell r="G328" t="str">
            <v>tatparts.ru</v>
          </cell>
          <cell r="H328">
            <v>5164</v>
          </cell>
          <cell r="I328">
            <v>3336</v>
          </cell>
          <cell r="J328">
            <v>3285.96</v>
          </cell>
        </row>
        <row r="329">
          <cell r="A329" t="str">
            <v>5079058100</v>
          </cell>
          <cell r="B329" t="str">
            <v>Молдинг стекла передней левой двери</v>
          </cell>
          <cell r="C329" t="str">
            <v>GEELY</v>
          </cell>
          <cell r="D329">
            <v>1</v>
          </cell>
          <cell r="E329">
            <v>2650</v>
          </cell>
          <cell r="G329" t="str">
            <v>автолига.рф</v>
          </cell>
          <cell r="H329">
            <v>5163</v>
          </cell>
          <cell r="I329">
            <v>2651</v>
          </cell>
          <cell r="J329">
            <v>2611.2350000000001</v>
          </cell>
        </row>
        <row r="330">
          <cell r="A330" t="str">
            <v>565963107</v>
          </cell>
          <cell r="B330" t="str">
            <v>Панель управления с кнопками</v>
          </cell>
          <cell r="C330" t="str">
            <v>VAG</v>
          </cell>
          <cell r="D330">
            <v>1</v>
          </cell>
          <cell r="E330">
            <v>815</v>
          </cell>
          <cell r="G330" t="str">
            <v>tatparts.ru</v>
          </cell>
          <cell r="H330">
            <v>5149</v>
          </cell>
          <cell r="I330">
            <v>817</v>
          </cell>
          <cell r="J330">
            <v>804.745</v>
          </cell>
        </row>
        <row r="331">
          <cell r="A331" t="str">
            <v>82530J5000</v>
          </cell>
          <cell r="B331" t="str">
            <v>Молдинг стекла</v>
          </cell>
          <cell r="C331" t="str">
            <v>HYUNDAI/KIA</v>
          </cell>
          <cell r="D331">
            <v>1</v>
          </cell>
          <cell r="E331">
            <v>3500</v>
          </cell>
          <cell r="G331" t="str">
            <v>автолига.рф</v>
          </cell>
          <cell r="H331">
            <v>4990</v>
          </cell>
          <cell r="I331">
            <v>2534</v>
          </cell>
          <cell r="J331">
            <v>2495.9899999999998</v>
          </cell>
        </row>
        <row r="332">
          <cell r="A332" t="str">
            <v>82540J5000</v>
          </cell>
          <cell r="B332" t="str">
            <v>Молдинг стекла</v>
          </cell>
          <cell r="C332" t="str">
            <v>HYUNDAI/KIA</v>
          </cell>
          <cell r="D332">
            <v>1</v>
          </cell>
          <cell r="E332">
            <v>5297.33</v>
          </cell>
          <cell r="G332" t="str">
            <v>tatparts.ru</v>
          </cell>
          <cell r="H332">
            <v>4990</v>
          </cell>
          <cell r="I332">
            <v>3013</v>
          </cell>
          <cell r="J332">
            <v>2967.8049999999998</v>
          </cell>
        </row>
        <row r="333">
          <cell r="A333" t="str">
            <v>82540J5000</v>
          </cell>
          <cell r="B333" t="str">
            <v>Молдинг стекла</v>
          </cell>
          <cell r="C333" t="str">
            <v>HYUNDAI/KIA</v>
          </cell>
          <cell r="D333">
            <v>1</v>
          </cell>
          <cell r="E333">
            <v>5297.33</v>
          </cell>
          <cell r="G333" t="str">
            <v>tatparts.ru</v>
          </cell>
          <cell r="H333">
            <v>4990</v>
          </cell>
          <cell r="I333">
            <v>3013</v>
          </cell>
          <cell r="J333">
            <v>2967.8049999999998</v>
          </cell>
        </row>
        <row r="334">
          <cell r="A334" t="str">
            <v>86571B8500</v>
          </cell>
          <cell r="B334" t="str">
            <v>Усилитель перед. бампера нижний</v>
          </cell>
          <cell r="C334" t="str">
            <v>HYUNDAI/KIA</v>
          </cell>
          <cell r="D334">
            <v>1</v>
          </cell>
          <cell r="E334">
            <v>3175</v>
          </cell>
          <cell r="G334" t="str">
            <v>автолига.рф</v>
          </cell>
          <cell r="H334">
            <v>4820</v>
          </cell>
          <cell r="I334">
            <v>3204</v>
          </cell>
          <cell r="J334">
            <v>3155.94</v>
          </cell>
        </row>
        <row r="335">
          <cell r="A335" t="str">
            <v>ST2212051R</v>
          </cell>
          <cell r="B335" t="str">
            <v xml:space="preserve">ПТФ </v>
          </cell>
          <cell r="C335" t="str">
            <v>SAT</v>
          </cell>
          <cell r="D335">
            <v>1</v>
          </cell>
          <cell r="E335">
            <v>2781.64</v>
          </cell>
          <cell r="G335" t="str">
            <v>tatparts.ru</v>
          </cell>
          <cell r="H335">
            <v>4724</v>
          </cell>
          <cell r="I335">
            <v>2772</v>
          </cell>
          <cell r="J335">
            <v>2730.42</v>
          </cell>
        </row>
        <row r="336">
          <cell r="A336" t="str">
            <v>6137559</v>
          </cell>
          <cell r="B336" t="str">
            <v>Зеркало левое alkar</v>
          </cell>
          <cell r="C336" t="str">
            <v>ALKAR</v>
          </cell>
          <cell r="D336">
            <v>1</v>
          </cell>
          <cell r="E336">
            <v>3965.61</v>
          </cell>
          <cell r="G336" t="str">
            <v>автолига.рф</v>
          </cell>
          <cell r="H336">
            <v>4643</v>
          </cell>
          <cell r="I336">
            <v>3718</v>
          </cell>
          <cell r="J336">
            <v>3662.23</v>
          </cell>
        </row>
        <row r="337">
          <cell r="A337" t="str">
            <v>565820951C RYP</v>
          </cell>
          <cell r="B337" t="str">
            <v>Дефлектор чёрный satin/глянц.chromglanz</v>
          </cell>
          <cell r="C337" t="str">
            <v>VAG</v>
          </cell>
          <cell r="D337">
            <v>1</v>
          </cell>
          <cell r="E337">
            <v>1630</v>
          </cell>
          <cell r="G337" t="str">
            <v>tatparts.ru</v>
          </cell>
          <cell r="H337">
            <v>4641</v>
          </cell>
          <cell r="I337">
            <v>1651</v>
          </cell>
          <cell r="J337">
            <v>1626.2349999999999</v>
          </cell>
        </row>
        <row r="338">
          <cell r="A338" t="str">
            <v>5JH823359</v>
          </cell>
          <cell r="B338" t="str">
            <v>Амортизаторы капота Rapid</v>
          </cell>
          <cell r="C338" t="str">
            <v>VAG</v>
          </cell>
          <cell r="D338">
            <v>1</v>
          </cell>
          <cell r="E338">
            <v>2500</v>
          </cell>
          <cell r="G338" t="str">
            <v>автолига.рф</v>
          </cell>
          <cell r="H338">
            <v>4580</v>
          </cell>
          <cell r="I338">
            <v>2512</v>
          </cell>
          <cell r="J338">
            <v>2474.3200000000002</v>
          </cell>
        </row>
        <row r="339">
          <cell r="A339" t="str">
            <v>5JH823359</v>
          </cell>
          <cell r="B339" t="str">
            <v>Амортизаторы капота Rapid</v>
          </cell>
          <cell r="C339" t="str">
            <v>VAG</v>
          </cell>
          <cell r="D339">
            <v>2</v>
          </cell>
          <cell r="E339">
            <v>2500</v>
          </cell>
          <cell r="G339" t="str">
            <v>автолига.рф</v>
          </cell>
          <cell r="H339">
            <v>4580</v>
          </cell>
          <cell r="I339">
            <v>2512</v>
          </cell>
          <cell r="J339">
            <v>2474.3200000000002</v>
          </cell>
        </row>
        <row r="340">
          <cell r="A340" t="str">
            <v>85860H5000TTX</v>
          </cell>
          <cell r="B340" t="str">
            <v>Обшивка задней стойки внутр. прав.</v>
          </cell>
          <cell r="C340" t="str">
            <v>HYUNDAI/KIA</v>
          </cell>
          <cell r="D340">
            <v>1</v>
          </cell>
          <cell r="E340">
            <v>4037.5149999999999</v>
          </cell>
          <cell r="G340" t="str">
            <v>tatparts.ru</v>
          </cell>
          <cell r="H340">
            <v>4576</v>
          </cell>
          <cell r="I340">
            <v>555</v>
          </cell>
          <cell r="J340">
            <v>546.67499999999995</v>
          </cell>
        </row>
        <row r="341">
          <cell r="A341" t="str">
            <v>5261158050</v>
          </cell>
          <cell r="B341" t="str">
            <v>АМОРТИЗАТОР БАМПЕРА</v>
          </cell>
          <cell r="C341" t="str">
            <v>TOYOTA</v>
          </cell>
          <cell r="D341">
            <v>1</v>
          </cell>
          <cell r="E341">
            <v>2827.9349999999999</v>
          </cell>
          <cell r="G341" t="str">
            <v>автолига.рф</v>
          </cell>
          <cell r="H341">
            <v>4560</v>
          </cell>
          <cell r="I341">
            <v>801</v>
          </cell>
          <cell r="J341">
            <v>788.98500000000001</v>
          </cell>
        </row>
        <row r="342">
          <cell r="A342" t="str">
            <v>5370C005</v>
          </cell>
          <cell r="B342" t="str">
            <v>ПОДКРЫЛОК ЗАДНИЙ ЛЕВЫЙ</v>
          </cell>
          <cell r="C342" t="str">
            <v>MITSUBISHI</v>
          </cell>
          <cell r="D342">
            <v>1</v>
          </cell>
          <cell r="E342">
            <v>2050.77</v>
          </cell>
          <cell r="G342" t="str">
            <v>tatparts.ru</v>
          </cell>
          <cell r="H342">
            <v>4558</v>
          </cell>
          <cell r="I342">
            <v>1259</v>
          </cell>
          <cell r="J342">
            <v>1240.115</v>
          </cell>
        </row>
        <row r="343">
          <cell r="A343" t="str">
            <v>5370C006</v>
          </cell>
          <cell r="B343" t="str">
            <v>ПОДКРЫЛОК ЗАДНИЙ ПРАВЫЙ</v>
          </cell>
          <cell r="C343" t="str">
            <v>MITSUBISHI</v>
          </cell>
          <cell r="D343">
            <v>2</v>
          </cell>
          <cell r="E343">
            <v>1705</v>
          </cell>
          <cell r="G343" t="str">
            <v>автолига.рф</v>
          </cell>
          <cell r="H343">
            <v>4558</v>
          </cell>
          <cell r="I343">
            <v>1710</v>
          </cell>
          <cell r="J343">
            <v>1684.35</v>
          </cell>
        </row>
        <row r="344">
          <cell r="A344" t="str">
            <v>GSH750EL1BB</v>
          </cell>
          <cell r="B344" t="str">
            <v>ЗАГЛУШКА ПЛАСТИКОВАЯ ЗАДНЕГО БАМПЕРА LH</v>
          </cell>
          <cell r="C344" t="str">
            <v>Mazda</v>
          </cell>
          <cell r="D344">
            <v>1</v>
          </cell>
          <cell r="E344">
            <v>3500</v>
          </cell>
          <cell r="G344" t="str">
            <v>tatparts.ru</v>
          </cell>
          <cell r="H344">
            <v>4543</v>
          </cell>
          <cell r="I344">
            <v>1344</v>
          </cell>
          <cell r="J344">
            <v>1323.84</v>
          </cell>
        </row>
        <row r="345">
          <cell r="A345" t="str">
            <v>51337329340</v>
          </cell>
          <cell r="B345" t="str">
            <v>Защитный молдинг шахты П Пд Наруж</v>
          </cell>
          <cell r="C345" t="str">
            <v>BMW</v>
          </cell>
          <cell r="D345">
            <v>1</v>
          </cell>
          <cell r="E345">
            <v>2139</v>
          </cell>
          <cell r="G345" t="str">
            <v>автолига.рф</v>
          </cell>
          <cell r="H345">
            <v>4536</v>
          </cell>
          <cell r="I345">
            <v>2163</v>
          </cell>
          <cell r="J345">
            <v>2130.5549999999998</v>
          </cell>
        </row>
        <row r="346">
          <cell r="A346" t="str">
            <v>5C6898515</v>
          </cell>
          <cell r="B346" t="str">
            <v>Ремкомплект сиденья</v>
          </cell>
          <cell r="C346" t="str">
            <v>VAG</v>
          </cell>
          <cell r="D346">
            <v>3</v>
          </cell>
          <cell r="E346">
            <v>500</v>
          </cell>
          <cell r="G346" t="str">
            <v>автолига.рф</v>
          </cell>
          <cell r="H346">
            <v>4478</v>
          </cell>
          <cell r="I346">
            <v>21</v>
          </cell>
          <cell r="J346">
            <v>20.684999999999999</v>
          </cell>
        </row>
        <row r="347">
          <cell r="A347" t="str">
            <v>212308403010000</v>
          </cell>
          <cell r="B347" t="str">
            <v>Крыло пер. прав.</v>
          </cell>
          <cell r="C347" t="str">
            <v>LADA</v>
          </cell>
          <cell r="D347">
            <v>1</v>
          </cell>
          <cell r="E347">
            <v>2999</v>
          </cell>
          <cell r="G347" t="str">
            <v>автолига.рф</v>
          </cell>
          <cell r="H347">
            <v>4472</v>
          </cell>
          <cell r="I347">
            <v>3023</v>
          </cell>
          <cell r="J347">
            <v>2977.6549999999997</v>
          </cell>
        </row>
        <row r="348">
          <cell r="A348" t="str">
            <v>8Y0839239A GRU</v>
          </cell>
          <cell r="B348" t="str">
            <v>Накладка дверной ручки грунтован.</v>
          </cell>
          <cell r="C348" t="str">
            <v>VAG</v>
          </cell>
          <cell r="D348">
            <v>1</v>
          </cell>
          <cell r="E348">
            <v>2100</v>
          </cell>
          <cell r="G348" t="str">
            <v>автолига.рф</v>
          </cell>
          <cell r="H348">
            <v>4429</v>
          </cell>
          <cell r="I348">
            <v>2057</v>
          </cell>
          <cell r="J348">
            <v>2026.145</v>
          </cell>
        </row>
        <row r="349">
          <cell r="A349" t="str">
            <v>769360008R</v>
          </cell>
          <cell r="B349" t="str">
            <v>Накладка декор стойки зад прав (плас)</v>
          </cell>
          <cell r="C349" t="str">
            <v>RENAULT</v>
          </cell>
          <cell r="D349">
            <v>1</v>
          </cell>
          <cell r="E349">
            <v>3842.4850000000001</v>
          </cell>
          <cell r="G349" t="str">
            <v>tatparts.ru</v>
          </cell>
          <cell r="H349">
            <v>4367</v>
          </cell>
          <cell r="I349">
            <v>412</v>
          </cell>
          <cell r="J349">
            <v>405.82</v>
          </cell>
        </row>
        <row r="350">
          <cell r="A350" t="str">
            <v>51337329339</v>
          </cell>
          <cell r="B350" t="str">
            <v>Молдинг шахты стекла Наруж двери Л Пд</v>
          </cell>
          <cell r="C350" t="str">
            <v>BMW</v>
          </cell>
          <cell r="D350">
            <v>1</v>
          </cell>
          <cell r="E350">
            <v>2029.1</v>
          </cell>
          <cell r="G350" t="str">
            <v>tatparts.ru</v>
          </cell>
          <cell r="H350">
            <v>4276</v>
          </cell>
          <cell r="I350">
            <v>1441</v>
          </cell>
          <cell r="J350">
            <v>1419.385</v>
          </cell>
        </row>
        <row r="351">
          <cell r="A351" t="str">
            <v>51357317844</v>
          </cell>
          <cell r="B351" t="str">
            <v>Наруж. молдинг шахты стекла двери П Зд</v>
          </cell>
          <cell r="C351" t="str">
            <v>BMW</v>
          </cell>
          <cell r="D351">
            <v>1</v>
          </cell>
          <cell r="E351">
            <v>2250</v>
          </cell>
          <cell r="G351" t="str">
            <v>автолига.рф</v>
          </cell>
          <cell r="H351">
            <v>4276</v>
          </cell>
          <cell r="I351">
            <v>2174</v>
          </cell>
          <cell r="J351">
            <v>2141.39</v>
          </cell>
        </row>
        <row r="352">
          <cell r="A352" t="str">
            <v>5257533130</v>
          </cell>
          <cell r="B352" t="str">
            <v>КРОНШТЕЙН БАМПЕРА</v>
          </cell>
          <cell r="C352" t="str">
            <v>TOYOTA</v>
          </cell>
          <cell r="D352">
            <v>1</v>
          </cell>
          <cell r="E352">
            <v>2150</v>
          </cell>
          <cell r="G352" t="str">
            <v>автолига.рф</v>
          </cell>
          <cell r="H352">
            <v>4264</v>
          </cell>
          <cell r="I352">
            <v>2068</v>
          </cell>
          <cell r="J352">
            <v>2036.98</v>
          </cell>
        </row>
        <row r="353">
          <cell r="A353" t="str">
            <v>5257533130</v>
          </cell>
          <cell r="B353" t="str">
            <v>КРОНШТЕЙН БАМПЕРА</v>
          </cell>
          <cell r="C353" t="str">
            <v>TOYOTA</v>
          </cell>
          <cell r="D353">
            <v>1</v>
          </cell>
          <cell r="E353">
            <v>2150</v>
          </cell>
          <cell r="G353" t="str">
            <v>автолига.рф</v>
          </cell>
          <cell r="H353">
            <v>4264</v>
          </cell>
          <cell r="I353">
            <v>2068</v>
          </cell>
          <cell r="J353">
            <v>2036.98</v>
          </cell>
        </row>
        <row r="354">
          <cell r="A354" t="str">
            <v>JH03K2013ER</v>
          </cell>
          <cell r="B354" t="str">
            <v>Зеркало заднего вида, правое</v>
          </cell>
          <cell r="C354" t="str">
            <v>Jorden</v>
          </cell>
          <cell r="D354">
            <v>1</v>
          </cell>
          <cell r="E354">
            <v>1490</v>
          </cell>
          <cell r="G354" t="str">
            <v>автолига.рф</v>
          </cell>
          <cell r="H354">
            <v>4264</v>
          </cell>
          <cell r="I354">
            <v>1508</v>
          </cell>
          <cell r="J354">
            <v>1485.3799999999999</v>
          </cell>
        </row>
        <row r="355">
          <cell r="A355" t="str">
            <v>GSH750A11BB</v>
          </cell>
          <cell r="B355" t="str">
            <v>ЗАГЛУШКА БУКСИРОВОЧНОГО ТРОССА</v>
          </cell>
          <cell r="C355" t="str">
            <v>Mazda</v>
          </cell>
          <cell r="D355">
            <v>1</v>
          </cell>
          <cell r="E355">
            <v>1450</v>
          </cell>
          <cell r="G355" t="str">
            <v>автолига.рф</v>
          </cell>
          <cell r="H355">
            <v>4222</v>
          </cell>
          <cell r="I355">
            <v>1444</v>
          </cell>
          <cell r="J355">
            <v>1422.34</v>
          </cell>
        </row>
        <row r="356">
          <cell r="A356" t="str">
            <v>PW1890K002</v>
          </cell>
          <cell r="B356" t="str">
            <v>БЕЙДЖ "BLACK ONYX", HILUX, LC150</v>
          </cell>
          <cell r="C356" t="str">
            <v>TOYOTA</v>
          </cell>
          <cell r="D356">
            <v>2</v>
          </cell>
          <cell r="E356">
            <v>2200</v>
          </cell>
          <cell r="G356" t="str">
            <v>tatparts.ru</v>
          </cell>
          <cell r="H356">
            <v>4206</v>
          </cell>
          <cell r="I356">
            <v>2109</v>
          </cell>
          <cell r="J356">
            <v>2077.3649999999998</v>
          </cell>
        </row>
        <row r="357">
          <cell r="A357" t="str">
            <v>PW1890K002</v>
          </cell>
          <cell r="B357" t="str">
            <v>БЕЙДЖ "BLACK ONYX", HILUX, LC150</v>
          </cell>
          <cell r="C357" t="str">
            <v>TOYOTA</v>
          </cell>
          <cell r="D357">
            <v>2</v>
          </cell>
          <cell r="E357">
            <v>2200</v>
          </cell>
          <cell r="G357" t="str">
            <v>tatparts.ru</v>
          </cell>
          <cell r="H357">
            <v>3898</v>
          </cell>
          <cell r="I357">
            <v>2109</v>
          </cell>
          <cell r="J357">
            <v>2077.3649999999998</v>
          </cell>
        </row>
        <row r="358">
          <cell r="A358" t="str">
            <v>PW1890K002</v>
          </cell>
          <cell r="B358" t="str">
            <v>БЕЙДЖ "BLACK ONYX", HILUX, LC150</v>
          </cell>
          <cell r="C358" t="str">
            <v>TOYOTA</v>
          </cell>
          <cell r="D358">
            <v>2</v>
          </cell>
          <cell r="E358">
            <v>2200</v>
          </cell>
          <cell r="G358" t="str">
            <v>tatparts.ru</v>
          </cell>
          <cell r="H358">
            <v>4206</v>
          </cell>
          <cell r="I358">
            <v>2109</v>
          </cell>
          <cell r="J358">
            <v>2077.3649999999998</v>
          </cell>
        </row>
        <row r="359">
          <cell r="A359" t="str">
            <v>PW1890K002</v>
          </cell>
          <cell r="B359" t="str">
            <v>БЕЙДЖ "BLACK ONYX", HILUX, LC150</v>
          </cell>
          <cell r="C359" t="str">
            <v>TOYOTA</v>
          </cell>
          <cell r="D359">
            <v>1</v>
          </cell>
          <cell r="E359">
            <v>2200</v>
          </cell>
          <cell r="G359" t="str">
            <v>tatparts.ru</v>
          </cell>
          <cell r="H359">
            <v>3898</v>
          </cell>
          <cell r="I359">
            <v>2109</v>
          </cell>
          <cell r="J359">
            <v>2077.3649999999998</v>
          </cell>
        </row>
        <row r="360">
          <cell r="A360" t="str">
            <v>PW1890K002</v>
          </cell>
          <cell r="B360" t="str">
            <v>БЕЙДЖ "BLACK ONYX", HILUX, LC150</v>
          </cell>
          <cell r="C360" t="str">
            <v>TOYOTA</v>
          </cell>
          <cell r="D360">
            <v>1</v>
          </cell>
          <cell r="E360">
            <v>2077.3649999999998</v>
          </cell>
          <cell r="G360" t="str">
            <v>tatparts.ru</v>
          </cell>
          <cell r="H360">
            <v>4206</v>
          </cell>
          <cell r="I360">
            <v>2109</v>
          </cell>
          <cell r="J360">
            <v>2077.3649999999998</v>
          </cell>
        </row>
        <row r="361">
          <cell r="A361" t="str">
            <v>86811A7000</v>
          </cell>
          <cell r="B361" t="str">
            <v>Подкрылок передний левый</v>
          </cell>
          <cell r="C361" t="str">
            <v>HYUNDAI/KIA</v>
          </cell>
          <cell r="D361">
            <v>2</v>
          </cell>
          <cell r="E361">
            <v>1550</v>
          </cell>
          <cell r="G361" t="str">
            <v>автолига.рф</v>
          </cell>
          <cell r="H361">
            <v>4198</v>
          </cell>
          <cell r="I361">
            <v>1516</v>
          </cell>
          <cell r="J361">
            <v>1493.26</v>
          </cell>
        </row>
        <row r="362">
          <cell r="A362" t="str">
            <v>86811A7000</v>
          </cell>
          <cell r="B362" t="str">
            <v>Подкрылок передний левый</v>
          </cell>
          <cell r="C362" t="str">
            <v>HYUNDAI/KIA</v>
          </cell>
          <cell r="D362">
            <v>1</v>
          </cell>
          <cell r="E362">
            <v>1550</v>
          </cell>
          <cell r="G362" t="str">
            <v>автолига.рф</v>
          </cell>
          <cell r="H362">
            <v>4198</v>
          </cell>
          <cell r="I362">
            <v>1516</v>
          </cell>
          <cell r="J362">
            <v>1493.26</v>
          </cell>
        </row>
        <row r="363">
          <cell r="A363" t="str">
            <v>7292BGNH</v>
          </cell>
          <cell r="B363" t="str">
            <v>Стекло двери задка RENAULT SANDERO II 2013- 5D HBK с ЭОотверстием ТЗ KMK GLASS</v>
          </cell>
          <cell r="C363" t="str">
            <v>KMK GLASS</v>
          </cell>
          <cell r="D363">
            <v>1</v>
          </cell>
          <cell r="E363">
            <v>2750</v>
          </cell>
          <cell r="G363" t="str">
            <v>автолига.рф</v>
          </cell>
          <cell r="H363">
            <v>4167</v>
          </cell>
          <cell r="I363">
            <v>2758</v>
          </cell>
          <cell r="J363">
            <v>2716.63</v>
          </cell>
        </row>
        <row r="364">
          <cell r="A364" t="str">
            <v>B017391</v>
          </cell>
          <cell r="B364" t="str">
            <v>Решетка нижняя переднего бампера</v>
          </cell>
          <cell r="C364" t="str">
            <v>DONGFENG</v>
          </cell>
          <cell r="D364">
            <v>1</v>
          </cell>
          <cell r="E364">
            <v>2976.67</v>
          </cell>
          <cell r="G364" t="str">
            <v>автолига.рф</v>
          </cell>
          <cell r="H364">
            <v>4158</v>
          </cell>
          <cell r="I364">
            <v>3022</v>
          </cell>
          <cell r="J364">
            <v>2976.67</v>
          </cell>
        </row>
        <row r="365">
          <cell r="A365" t="str">
            <v>4M0868077B</v>
          </cell>
          <cell r="B365" t="str">
            <v>Кронштейн декоративной накладки</v>
          </cell>
          <cell r="C365" t="str">
            <v>VAG</v>
          </cell>
          <cell r="D365">
            <v>1</v>
          </cell>
          <cell r="E365">
            <v>4887.6586500000003</v>
          </cell>
          <cell r="G365" t="str">
            <v>tatparts.ru</v>
          </cell>
          <cell r="H365">
            <v>4083</v>
          </cell>
          <cell r="I365">
            <v>837</v>
          </cell>
          <cell r="J365">
            <v>824.44499999999994</v>
          </cell>
        </row>
        <row r="366">
          <cell r="A366" t="str">
            <v>5301500SA01D</v>
          </cell>
          <cell r="B366" t="str">
            <v>Панель рамки радиатора верхняя 580</v>
          </cell>
          <cell r="C366" t="str">
            <v>DONGFENG</v>
          </cell>
          <cell r="D366">
            <v>1</v>
          </cell>
          <cell r="E366">
            <v>3517.4349999999999</v>
          </cell>
          <cell r="G366" t="str">
            <v>автолига.рф</v>
          </cell>
          <cell r="H366">
            <v>4079</v>
          </cell>
          <cell r="I366">
            <v>3571</v>
          </cell>
          <cell r="J366">
            <v>3517.4349999999999</v>
          </cell>
        </row>
        <row r="367">
          <cell r="A367" t="str">
            <v>5215560100</v>
          </cell>
          <cell r="B367" t="str">
            <v>КРЕПЛЕНИЕ ЗАДНЕГО БАМПЕРА</v>
          </cell>
          <cell r="C367" t="str">
            <v>TOYOTA</v>
          </cell>
          <cell r="D367">
            <v>1</v>
          </cell>
          <cell r="E367">
            <v>2945.15</v>
          </cell>
          <cell r="G367" t="str">
            <v>автолига.рф</v>
          </cell>
          <cell r="H367">
            <v>4015</v>
          </cell>
          <cell r="I367">
            <v>2554</v>
          </cell>
          <cell r="J367">
            <v>2515.69</v>
          </cell>
        </row>
        <row r="368">
          <cell r="A368" t="str">
            <v>990442212R</v>
          </cell>
          <cell r="B368" t="str">
            <v>Наклейка двери пер прав "Stepway"</v>
          </cell>
          <cell r="C368" t="str">
            <v>RENAULT</v>
          </cell>
          <cell r="D368">
            <v>1</v>
          </cell>
          <cell r="E368">
            <v>600</v>
          </cell>
          <cell r="G368" t="str">
            <v>автолига.рф</v>
          </cell>
          <cell r="H368">
            <v>4001</v>
          </cell>
          <cell r="I368">
            <v>578</v>
          </cell>
          <cell r="J368">
            <v>569.33000000000004</v>
          </cell>
        </row>
        <row r="369">
          <cell r="A369" t="str">
            <v>6073067700</v>
          </cell>
          <cell r="B369" t="str">
            <v>Накладкая крыла правая</v>
          </cell>
          <cell r="C369" t="str">
            <v>GEELY</v>
          </cell>
          <cell r="D369">
            <v>1</v>
          </cell>
          <cell r="E369">
            <v>2044.86</v>
          </cell>
          <cell r="G369" t="str">
            <v>автолига.рф</v>
          </cell>
          <cell r="H369">
            <v>3988</v>
          </cell>
          <cell r="I369">
            <v>2056</v>
          </cell>
          <cell r="J369">
            <v>2025.16</v>
          </cell>
        </row>
        <row r="370">
          <cell r="A370" t="str">
            <v>6073067800</v>
          </cell>
          <cell r="B370" t="str">
            <v>Накладка крыла левая</v>
          </cell>
          <cell r="C370" t="str">
            <v>GEELY</v>
          </cell>
          <cell r="D370">
            <v>1</v>
          </cell>
          <cell r="E370">
            <v>1650</v>
          </cell>
          <cell r="G370" t="str">
            <v>автолига.рф</v>
          </cell>
          <cell r="H370">
            <v>3988</v>
          </cell>
          <cell r="I370">
            <v>1629</v>
          </cell>
          <cell r="J370">
            <v>1604.5650000000001</v>
          </cell>
        </row>
        <row r="371">
          <cell r="A371" t="str">
            <v>87722Q5000</v>
          </cell>
          <cell r="B371" t="str">
            <v>МОЛДИНГ ДВЕРИ</v>
          </cell>
          <cell r="C371" t="str">
            <v>HYUNDAI/KIA</v>
          </cell>
          <cell r="D371">
            <v>1</v>
          </cell>
          <cell r="E371">
            <v>3351.9549999999999</v>
          </cell>
          <cell r="G371" t="str">
            <v>автолига.рф</v>
          </cell>
          <cell r="H371">
            <v>3957</v>
          </cell>
          <cell r="I371">
            <v>3403</v>
          </cell>
          <cell r="J371">
            <v>3351.9549999999999</v>
          </cell>
        </row>
        <row r="372">
          <cell r="A372" t="str">
            <v>87771D4500</v>
          </cell>
          <cell r="B372" t="str">
            <v>Накладка крыла левого переднего</v>
          </cell>
          <cell r="C372" t="str">
            <v>HYUNDAI/KIA</v>
          </cell>
          <cell r="D372">
            <v>1</v>
          </cell>
          <cell r="E372">
            <v>1280</v>
          </cell>
          <cell r="G372" t="str">
            <v>автолига.рф</v>
          </cell>
          <cell r="H372">
            <v>3895</v>
          </cell>
          <cell r="I372">
            <v>1296</v>
          </cell>
          <cell r="J372">
            <v>1276.56</v>
          </cell>
        </row>
        <row r="373">
          <cell r="A373" t="str">
            <v>87772D4500</v>
          </cell>
          <cell r="B373" t="str">
            <v>Накладка крыла правого переднего</v>
          </cell>
          <cell r="C373" t="str">
            <v>HYUNDAI/KIA</v>
          </cell>
          <cell r="D373">
            <v>1</v>
          </cell>
          <cell r="E373">
            <v>2670</v>
          </cell>
          <cell r="G373" t="str">
            <v>tatparts.ru</v>
          </cell>
          <cell r="H373">
            <v>3895</v>
          </cell>
          <cell r="I373">
            <v>2708</v>
          </cell>
          <cell r="J373">
            <v>2667.38</v>
          </cell>
        </row>
        <row r="374">
          <cell r="A374" t="str">
            <v>609001391AA</v>
          </cell>
          <cell r="B374" t="str">
            <v>СТРИП ДВЕРИ ЗАДНЕЙ 5-Й M31T/M32T/M32TFL</v>
          </cell>
          <cell r="C374" t="str">
            <v>CHERY</v>
          </cell>
          <cell r="D374">
            <v>1</v>
          </cell>
          <cell r="E374">
            <v>400</v>
          </cell>
          <cell r="G374" t="str">
            <v>автолига.рф</v>
          </cell>
          <cell r="H374">
            <v>3876</v>
          </cell>
          <cell r="I374">
            <v>399</v>
          </cell>
          <cell r="J374">
            <v>393.01499999999999</v>
          </cell>
        </row>
        <row r="375">
          <cell r="A375" t="str">
            <v>265855178R</v>
          </cell>
          <cell r="B375" t="str">
            <v>Фонарь противотуманный задний левый</v>
          </cell>
          <cell r="C375" t="str">
            <v>RENAULT</v>
          </cell>
          <cell r="D375">
            <v>1</v>
          </cell>
          <cell r="E375">
            <v>2500</v>
          </cell>
          <cell r="G375" t="str">
            <v>автолига.рф</v>
          </cell>
          <cell r="H375">
            <v>3874</v>
          </cell>
          <cell r="I375">
            <v>2486</v>
          </cell>
          <cell r="J375">
            <v>2448.71</v>
          </cell>
        </row>
        <row r="376">
          <cell r="A376" t="str">
            <v>265855178R</v>
          </cell>
          <cell r="B376" t="str">
            <v>Фонарь противотуманный задний левый</v>
          </cell>
          <cell r="C376" t="str">
            <v>RENAULT</v>
          </cell>
          <cell r="D376">
            <v>7</v>
          </cell>
          <cell r="E376">
            <v>2500</v>
          </cell>
          <cell r="G376" t="str">
            <v>автолига.рф</v>
          </cell>
          <cell r="H376">
            <v>3874</v>
          </cell>
          <cell r="I376">
            <v>2486</v>
          </cell>
          <cell r="J376">
            <v>2448.71</v>
          </cell>
        </row>
        <row r="377">
          <cell r="A377" t="str">
            <v>265855178R</v>
          </cell>
          <cell r="B377" t="str">
            <v>Фонарь противотуманный задний левый</v>
          </cell>
          <cell r="C377" t="str">
            <v>RENAULT</v>
          </cell>
          <cell r="D377">
            <v>6</v>
          </cell>
          <cell r="E377">
            <v>2500</v>
          </cell>
          <cell r="G377" t="str">
            <v>автолига.рф</v>
          </cell>
          <cell r="H377">
            <v>3261</v>
          </cell>
          <cell r="I377">
            <v>2486</v>
          </cell>
          <cell r="J377">
            <v>2448.71</v>
          </cell>
        </row>
        <row r="378">
          <cell r="A378" t="str">
            <v>2198967</v>
          </cell>
          <cell r="B378" t="str">
            <v>УПЛОТНИТЕЛЬ ДВЕРИ ЗАДНЕЙ ПРАВОЙ</v>
          </cell>
          <cell r="C378" t="str">
            <v>FORD</v>
          </cell>
          <cell r="D378">
            <v>1</v>
          </cell>
          <cell r="E378">
            <v>3853</v>
          </cell>
          <cell r="G378" t="str">
            <v>автолига.рф</v>
          </cell>
          <cell r="H378">
            <v>3853</v>
          </cell>
          <cell r="I378">
            <v>679</v>
          </cell>
          <cell r="J378">
            <v>668.81499999999994</v>
          </cell>
        </row>
        <row r="379">
          <cell r="A379" t="str">
            <v>7735042100</v>
          </cell>
          <cell r="B379" t="str">
            <v>КРЫШКА ГОРЛОВИНЫ БЕНЗОБАКА</v>
          </cell>
          <cell r="C379" t="str">
            <v>TOYOTA</v>
          </cell>
          <cell r="D379">
            <v>1</v>
          </cell>
          <cell r="E379">
            <v>2961.895</v>
          </cell>
          <cell r="G379" t="str">
            <v>tatparts.ru</v>
          </cell>
          <cell r="H379">
            <v>3771</v>
          </cell>
          <cell r="I379">
            <v>2817</v>
          </cell>
          <cell r="J379">
            <v>2774.7449999999999</v>
          </cell>
        </row>
        <row r="380">
          <cell r="A380" t="str">
            <v>51167078360</v>
          </cell>
          <cell r="B380" t="str">
            <v>Колпак Е60 Прав грунт.</v>
          </cell>
          <cell r="C380" t="str">
            <v>BMW</v>
          </cell>
          <cell r="D380">
            <v>1</v>
          </cell>
          <cell r="E380">
            <v>1995.61</v>
          </cell>
          <cell r="G380" t="str">
            <v>tatparts.ru</v>
          </cell>
          <cell r="H380">
            <v>3665</v>
          </cell>
          <cell r="I380">
            <v>1451</v>
          </cell>
          <cell r="J380">
            <v>1429.2349999999999</v>
          </cell>
        </row>
        <row r="381">
          <cell r="A381" t="str">
            <v>5757A292</v>
          </cell>
          <cell r="B381" t="str">
            <v>Молдинг окна задней правой двери</v>
          </cell>
          <cell r="C381" t="str">
            <v>MITSUBISHI</v>
          </cell>
          <cell r="D381">
            <v>1</v>
          </cell>
          <cell r="E381">
            <v>950</v>
          </cell>
          <cell r="G381" t="str">
            <v>автолига.рф</v>
          </cell>
          <cell r="H381">
            <v>3609</v>
          </cell>
          <cell r="I381">
            <v>937</v>
          </cell>
          <cell r="J381">
            <v>922.94499999999994</v>
          </cell>
        </row>
        <row r="382">
          <cell r="A382" t="str">
            <v>5757A292</v>
          </cell>
          <cell r="B382" t="str">
            <v>Молдинг окна задней правой двери</v>
          </cell>
          <cell r="C382" t="str">
            <v>MITSUBISHI</v>
          </cell>
          <cell r="D382">
            <v>1</v>
          </cell>
          <cell r="E382">
            <v>950</v>
          </cell>
          <cell r="G382" t="str">
            <v>автолига.рф</v>
          </cell>
          <cell r="H382">
            <v>2886</v>
          </cell>
          <cell r="I382">
            <v>937</v>
          </cell>
          <cell r="J382">
            <v>922.94499999999994</v>
          </cell>
        </row>
        <row r="383">
          <cell r="A383" t="str">
            <v>87621B8020</v>
          </cell>
          <cell r="B383" t="str">
            <v>Полотно зеркала заднего вида прав.</v>
          </cell>
          <cell r="C383" t="str">
            <v>HYUNDAI/KIA</v>
          </cell>
          <cell r="D383">
            <v>1</v>
          </cell>
          <cell r="E383">
            <v>2003.49</v>
          </cell>
          <cell r="G383" t="str">
            <v>автолига.рф</v>
          </cell>
          <cell r="H383">
            <v>3575</v>
          </cell>
          <cell r="I383">
            <v>1243</v>
          </cell>
          <cell r="J383">
            <v>1224.355</v>
          </cell>
        </row>
        <row r="384">
          <cell r="A384" t="str">
            <v>86521Q5000</v>
          </cell>
          <cell r="B384" t="str">
            <v>Абсорбер переднего бампера</v>
          </cell>
          <cell r="C384" t="str">
            <v>HYUNDAI/KIA</v>
          </cell>
          <cell r="D384">
            <v>4</v>
          </cell>
          <cell r="E384">
            <v>2793.46</v>
          </cell>
          <cell r="G384" t="str">
            <v>автолига.рф</v>
          </cell>
          <cell r="H384">
            <v>3545</v>
          </cell>
          <cell r="I384">
            <v>2676</v>
          </cell>
          <cell r="J384">
            <v>2635.86</v>
          </cell>
        </row>
        <row r="385">
          <cell r="A385" t="str">
            <v>86521Q5000</v>
          </cell>
          <cell r="B385" t="str">
            <v>Абсорбер переднего бампера</v>
          </cell>
          <cell r="C385" t="str">
            <v>HYUNDAI/KIA</v>
          </cell>
          <cell r="D385">
            <v>2</v>
          </cell>
          <cell r="E385">
            <v>2650</v>
          </cell>
          <cell r="G385" t="str">
            <v>автолига.рф</v>
          </cell>
          <cell r="H385">
            <v>3216</v>
          </cell>
          <cell r="I385">
            <v>2676</v>
          </cell>
          <cell r="J385">
            <v>2635.86</v>
          </cell>
        </row>
        <row r="386">
          <cell r="A386" t="str">
            <v>4116010SA02</v>
          </cell>
          <cell r="B386" t="str">
            <v>Фара противотуманная передняя левая 580</v>
          </cell>
          <cell r="C386" t="str">
            <v>DONGFENG</v>
          </cell>
          <cell r="D386">
            <v>1</v>
          </cell>
          <cell r="E386">
            <v>1250</v>
          </cell>
          <cell r="G386" t="str">
            <v>автолига.рф</v>
          </cell>
          <cell r="H386">
            <v>3535</v>
          </cell>
          <cell r="I386">
            <v>1181</v>
          </cell>
          <cell r="J386">
            <v>1163.2850000000001</v>
          </cell>
        </row>
        <row r="387">
          <cell r="A387" t="str">
            <v>4116020SA02</v>
          </cell>
          <cell r="B387" t="str">
            <v>Фара противотуманная передняя правая 580</v>
          </cell>
          <cell r="C387" t="str">
            <v>DONGFENG</v>
          </cell>
          <cell r="D387">
            <v>1</v>
          </cell>
          <cell r="E387">
            <v>2559</v>
          </cell>
          <cell r="G387" t="str">
            <v>tatparts.ru</v>
          </cell>
          <cell r="H387">
            <v>3535</v>
          </cell>
          <cell r="I387">
            <v>2193</v>
          </cell>
          <cell r="J387">
            <v>2160.105</v>
          </cell>
        </row>
        <row r="388">
          <cell r="A388" t="str">
            <v>656370R050</v>
          </cell>
          <cell r="B388" t="str">
            <v>ПОДКРЫЛОК ЗАДНИЙ, RH</v>
          </cell>
          <cell r="C388" t="str">
            <v>TOYOTA</v>
          </cell>
          <cell r="D388">
            <v>1</v>
          </cell>
          <cell r="E388">
            <v>1050</v>
          </cell>
          <cell r="G388" t="str">
            <v>автолига.рф</v>
          </cell>
          <cell r="H388">
            <v>3437</v>
          </cell>
          <cell r="I388">
            <v>992</v>
          </cell>
          <cell r="J388">
            <v>977.12</v>
          </cell>
        </row>
        <row r="389">
          <cell r="A389" t="str">
            <v>656370R050</v>
          </cell>
          <cell r="B389" t="str">
            <v>ПОДКРЫЛОК ЗАДНИЙ, RH</v>
          </cell>
          <cell r="C389" t="str">
            <v>TOYOTA</v>
          </cell>
          <cell r="D389">
            <v>1</v>
          </cell>
          <cell r="E389">
            <v>1050</v>
          </cell>
          <cell r="G389" t="str">
            <v>автолига.рф</v>
          </cell>
          <cell r="H389">
            <v>3437</v>
          </cell>
          <cell r="I389">
            <v>992</v>
          </cell>
          <cell r="J389">
            <v>977.12</v>
          </cell>
        </row>
        <row r="390">
          <cell r="A390" t="str">
            <v>656380R050</v>
          </cell>
          <cell r="B390" t="str">
            <v>Подкрылок задний левый</v>
          </cell>
          <cell r="C390" t="str">
            <v>TOYOTA</v>
          </cell>
          <cell r="D390">
            <v>1</v>
          </cell>
          <cell r="E390">
            <v>1222.385</v>
          </cell>
          <cell r="G390" t="str">
            <v>автолига.рф</v>
          </cell>
          <cell r="H390">
            <v>3437</v>
          </cell>
          <cell r="I390">
            <v>1002</v>
          </cell>
          <cell r="J390">
            <v>986.97</v>
          </cell>
        </row>
        <row r="391">
          <cell r="A391" t="str">
            <v>656380R050</v>
          </cell>
          <cell r="B391" t="str">
            <v>Подкрылок задний левый</v>
          </cell>
          <cell r="C391" t="str">
            <v>TOYOTA</v>
          </cell>
          <cell r="D391">
            <v>1</v>
          </cell>
          <cell r="E391">
            <v>1222.385</v>
          </cell>
          <cell r="G391" t="str">
            <v>автолига.рф</v>
          </cell>
          <cell r="H391">
            <v>3437</v>
          </cell>
          <cell r="I391">
            <v>1002</v>
          </cell>
          <cell r="J391">
            <v>986.97</v>
          </cell>
        </row>
        <row r="392">
          <cell r="A392" t="str">
            <v>265544AA1A</v>
          </cell>
          <cell r="B392" t="str">
            <v>КОРПУС ФОНАРЯ ЗАДНЕГО ПРАВОГО НА КРЫШКЕ БАГАЖНИКА</v>
          </cell>
          <cell r="C392" t="str">
            <v>NISSAN</v>
          </cell>
          <cell r="D392">
            <v>1</v>
          </cell>
          <cell r="E392">
            <v>5136.8242499999997</v>
          </cell>
          <cell r="G392" t="str">
            <v>tatparts.ru</v>
          </cell>
          <cell r="H392">
            <v>3421</v>
          </cell>
          <cell r="I392">
            <v>1975</v>
          </cell>
          <cell r="J392">
            <v>1945.375</v>
          </cell>
        </row>
        <row r="393">
          <cell r="A393" t="str">
            <v>BB5Z7827887B</v>
          </cell>
          <cell r="B393" t="str">
            <v>Арка колеса задняя левая</v>
          </cell>
          <cell r="C393" t="str">
            <v>FORD</v>
          </cell>
          <cell r="D393">
            <v>1</v>
          </cell>
          <cell r="E393">
            <v>2500</v>
          </cell>
          <cell r="G393" t="str">
            <v>автолига.рф</v>
          </cell>
          <cell r="H393">
            <v>3398</v>
          </cell>
          <cell r="I393">
            <v>2093</v>
          </cell>
          <cell r="J393">
            <v>2061.605</v>
          </cell>
        </row>
        <row r="394">
          <cell r="A394" t="str">
            <v>4E0947415</v>
          </cell>
          <cell r="B394" t="str">
            <v>Фонарь</v>
          </cell>
          <cell r="C394" t="str">
            <v>VAG</v>
          </cell>
          <cell r="D394">
            <v>2</v>
          </cell>
          <cell r="E394">
            <v>3364</v>
          </cell>
          <cell r="G394" t="str">
            <v>tatparts.ru</v>
          </cell>
          <cell r="H394">
            <v>3364</v>
          </cell>
          <cell r="I394">
            <v>230</v>
          </cell>
          <cell r="J394">
            <v>226.54999999999998</v>
          </cell>
        </row>
        <row r="395">
          <cell r="A395" t="str">
            <v>808658467R</v>
          </cell>
          <cell r="B395" t="str">
            <v>Уплотнитель шумоизолирующий двери пер лев</v>
          </cell>
          <cell r="C395" t="str">
            <v>RENAULT</v>
          </cell>
          <cell r="D395">
            <v>1</v>
          </cell>
          <cell r="E395">
            <v>1200</v>
          </cell>
          <cell r="G395" t="str">
            <v>автолига.рф</v>
          </cell>
          <cell r="H395">
            <v>3348</v>
          </cell>
          <cell r="I395">
            <v>817</v>
          </cell>
          <cell r="J395">
            <v>804.745</v>
          </cell>
        </row>
        <row r="396">
          <cell r="A396" t="str">
            <v>808658467R</v>
          </cell>
          <cell r="B396" t="str">
            <v>Уплотнитель шумоизолирующий двери пер лев</v>
          </cell>
          <cell r="C396" t="str">
            <v>RENAULT</v>
          </cell>
          <cell r="D396">
            <v>1</v>
          </cell>
          <cell r="E396">
            <v>1200</v>
          </cell>
          <cell r="G396" t="str">
            <v>автолига.рф</v>
          </cell>
          <cell r="H396">
            <v>3348</v>
          </cell>
          <cell r="I396">
            <v>817</v>
          </cell>
          <cell r="J396">
            <v>804.745</v>
          </cell>
        </row>
        <row r="397">
          <cell r="A397" t="str">
            <v>253809U00A</v>
          </cell>
          <cell r="B397" t="str">
            <v>Кнопка замка двери</v>
          </cell>
          <cell r="C397" t="str">
            <v>NISSAN</v>
          </cell>
          <cell r="D397">
            <v>1</v>
          </cell>
          <cell r="E397">
            <v>2855.5149999999999</v>
          </cell>
          <cell r="G397" t="str">
            <v>tatparts.ru</v>
          </cell>
          <cell r="H397">
            <v>3309</v>
          </cell>
          <cell r="I397">
            <v>1440</v>
          </cell>
          <cell r="J397">
            <v>1418.4</v>
          </cell>
        </row>
        <row r="398">
          <cell r="A398" t="str">
            <v>8V0839885</v>
          </cell>
          <cell r="B398" t="str">
            <v>Элемент опорный передней правой двери</v>
          </cell>
          <cell r="C398" t="str">
            <v>VAG</v>
          </cell>
          <cell r="D398">
            <v>1</v>
          </cell>
          <cell r="E398">
            <v>3292</v>
          </cell>
          <cell r="G398" t="str">
            <v>tatparts.ru</v>
          </cell>
          <cell r="H398">
            <v>3292</v>
          </cell>
          <cell r="I398">
            <v>445</v>
          </cell>
          <cell r="J398">
            <v>438.32499999999999</v>
          </cell>
        </row>
        <row r="399">
          <cell r="A399" t="str">
            <v>75447YY080</v>
          </cell>
          <cell r="B399" t="str">
            <v>ЭМБЛЕМА</v>
          </cell>
          <cell r="C399" t="str">
            <v>TOYOTA</v>
          </cell>
          <cell r="D399">
            <v>1</v>
          </cell>
          <cell r="E399">
            <v>1700</v>
          </cell>
          <cell r="G399" t="str">
            <v>автолига.рф</v>
          </cell>
          <cell r="H399">
            <v>3282</v>
          </cell>
          <cell r="I399">
            <v>1712</v>
          </cell>
          <cell r="J399">
            <v>1686.32</v>
          </cell>
        </row>
        <row r="400">
          <cell r="A400" t="str">
            <v>601982674R</v>
          </cell>
          <cell r="B400" t="str">
            <v>Дефлектор радиатора нижний правый</v>
          </cell>
          <cell r="C400" t="str">
            <v>RENAULT</v>
          </cell>
          <cell r="D400">
            <v>1</v>
          </cell>
          <cell r="E400">
            <v>500</v>
          </cell>
          <cell r="G400" t="str">
            <v>tatparts.ru</v>
          </cell>
          <cell r="H400">
            <v>3280</v>
          </cell>
          <cell r="I400">
            <v>191</v>
          </cell>
          <cell r="J400">
            <v>188.13499999999999</v>
          </cell>
        </row>
        <row r="401">
          <cell r="A401" t="str">
            <v>3G0837644A 7Z7</v>
          </cell>
          <cell r="B401" t="str">
            <v>Накладка передней двери декоративная правая</v>
          </cell>
          <cell r="C401" t="str">
            <v>VAG</v>
          </cell>
          <cell r="D401">
            <v>1</v>
          </cell>
          <cell r="E401">
            <v>3917.0888999999997</v>
          </cell>
          <cell r="G401" t="str">
            <v>tatparts.ru</v>
          </cell>
          <cell r="H401">
            <v>3272</v>
          </cell>
          <cell r="I401">
            <v>2219</v>
          </cell>
          <cell r="J401">
            <v>2185.7150000000001</v>
          </cell>
        </row>
        <row r="402">
          <cell r="A402" t="str">
            <v>5N0807241B GRU</v>
          </cell>
          <cell r="B402" t="str">
            <v>Крышка буксировочной петли</v>
          </cell>
          <cell r="C402" t="str">
            <v>VAG</v>
          </cell>
          <cell r="D402">
            <v>1</v>
          </cell>
          <cell r="E402">
            <v>3048.5749999999998</v>
          </cell>
          <cell r="G402" t="str">
            <v>tatparts.ru</v>
          </cell>
          <cell r="H402">
            <v>3266</v>
          </cell>
          <cell r="I402">
            <v>2936</v>
          </cell>
          <cell r="J402">
            <v>2891.96</v>
          </cell>
        </row>
        <row r="403">
          <cell r="A403" t="str">
            <v>MZ553141EX</v>
          </cell>
          <cell r="B403" t="str">
            <v>НАКЛЕЙКА НА КАПОТ</v>
          </cell>
          <cell r="C403" t="str">
            <v>MITSUBISHI</v>
          </cell>
          <cell r="D403">
            <v>1</v>
          </cell>
          <cell r="E403">
            <v>1250</v>
          </cell>
          <cell r="G403" t="str">
            <v>автолига.рф</v>
          </cell>
          <cell r="H403">
            <v>3254</v>
          </cell>
          <cell r="I403">
            <v>1037</v>
          </cell>
          <cell r="J403">
            <v>1021.4449999999999</v>
          </cell>
        </row>
        <row r="404">
          <cell r="A404" t="str">
            <v>4G0943021A</v>
          </cell>
          <cell r="B404" t="str">
            <v>Светодиод подсветки номера</v>
          </cell>
          <cell r="C404" t="str">
            <v>VAG</v>
          </cell>
          <cell r="D404">
            <v>2</v>
          </cell>
          <cell r="E404">
            <v>1650</v>
          </cell>
          <cell r="G404" t="str">
            <v>tatparts.ru</v>
          </cell>
          <cell r="H404">
            <v>3242</v>
          </cell>
          <cell r="I404">
            <v>1572</v>
          </cell>
          <cell r="J404">
            <v>1548.42</v>
          </cell>
        </row>
        <row r="405">
          <cell r="A405" t="str">
            <v>51317350610</v>
          </cell>
          <cell r="B405" t="str">
            <v>Молдинг лобового стекла правый</v>
          </cell>
          <cell r="C405" t="str">
            <v>BMW</v>
          </cell>
          <cell r="D405">
            <v>3</v>
          </cell>
          <cell r="E405">
            <v>1390</v>
          </cell>
          <cell r="G405" t="str">
            <v>автолига.рф</v>
          </cell>
          <cell r="H405">
            <v>3185</v>
          </cell>
          <cell r="I405">
            <v>1410</v>
          </cell>
          <cell r="J405">
            <v>1388.85</v>
          </cell>
        </row>
        <row r="406">
          <cell r="A406" t="str">
            <v>51317350610</v>
          </cell>
          <cell r="B406" t="str">
            <v>Молдинг лобового стекла правый</v>
          </cell>
          <cell r="C406" t="str">
            <v>BMW</v>
          </cell>
          <cell r="D406">
            <v>1</v>
          </cell>
          <cell r="E406">
            <v>1390</v>
          </cell>
          <cell r="G406" t="str">
            <v>автолига.рф</v>
          </cell>
          <cell r="H406">
            <v>4158</v>
          </cell>
          <cell r="I406">
            <v>1410</v>
          </cell>
          <cell r="J406">
            <v>1388.85</v>
          </cell>
        </row>
        <row r="407">
          <cell r="A407" t="str">
            <v>2309400</v>
          </cell>
          <cell r="B407" t="str">
            <v>НАКЛАДКА ПОРОГА</v>
          </cell>
          <cell r="C407" t="str">
            <v>FORD</v>
          </cell>
          <cell r="D407">
            <v>1</v>
          </cell>
          <cell r="E407">
            <v>2059</v>
          </cell>
          <cell r="G407" t="str">
            <v>автолига.рф</v>
          </cell>
          <cell r="H407">
            <v>3180</v>
          </cell>
          <cell r="I407">
            <v>2082</v>
          </cell>
          <cell r="J407">
            <v>2050.77</v>
          </cell>
        </row>
        <row r="408">
          <cell r="A408" t="str">
            <v>2309400</v>
          </cell>
          <cell r="B408" t="str">
            <v>НАКЛАДКА ПОРОГА</v>
          </cell>
          <cell r="C408" t="str">
            <v>FORD</v>
          </cell>
          <cell r="D408">
            <v>1</v>
          </cell>
          <cell r="E408">
            <v>2059</v>
          </cell>
          <cell r="G408" t="str">
            <v>автолига.рф</v>
          </cell>
          <cell r="H408">
            <v>4442</v>
          </cell>
          <cell r="I408">
            <v>2082</v>
          </cell>
          <cell r="J408">
            <v>2050.77</v>
          </cell>
        </row>
        <row r="409">
          <cell r="A409" t="str">
            <v>861312W000</v>
          </cell>
          <cell r="B409" t="str">
            <v>Молдинг лобового стекла</v>
          </cell>
          <cell r="C409" t="str">
            <v>HYUNDAI/KIA</v>
          </cell>
          <cell r="D409">
            <v>1</v>
          </cell>
          <cell r="E409">
            <v>2690</v>
          </cell>
          <cell r="G409" t="str">
            <v>автолига.рф</v>
          </cell>
          <cell r="H409">
            <v>3160</v>
          </cell>
          <cell r="I409">
            <v>2700</v>
          </cell>
          <cell r="J409">
            <v>2659.5</v>
          </cell>
        </row>
        <row r="410">
          <cell r="A410" t="str">
            <v>04731SNAA00</v>
          </cell>
          <cell r="B410" t="str">
            <v>Уплотнитель стекла</v>
          </cell>
          <cell r="C410" t="str">
            <v>HONDA</v>
          </cell>
          <cell r="D410">
            <v>1</v>
          </cell>
          <cell r="E410">
            <v>1350</v>
          </cell>
          <cell r="G410" t="str">
            <v>автолига.рф</v>
          </cell>
          <cell r="H410">
            <v>3104</v>
          </cell>
          <cell r="I410">
            <v>1343</v>
          </cell>
          <cell r="J410">
            <v>1322.855</v>
          </cell>
        </row>
        <row r="411">
          <cell r="A411" t="str">
            <v>TSY18878Y</v>
          </cell>
          <cell r="B411" t="str">
            <v>ТЯГА ЗАДНЕГО СИДЕНЬЯ МЕТ. CX-9'2021</v>
          </cell>
          <cell r="C411" t="str">
            <v>Mazda</v>
          </cell>
          <cell r="D411">
            <v>1</v>
          </cell>
          <cell r="E411">
            <v>450</v>
          </cell>
          <cell r="G411" t="str">
            <v>автолига.рф</v>
          </cell>
          <cell r="H411">
            <v>3102</v>
          </cell>
          <cell r="I411">
            <v>343</v>
          </cell>
          <cell r="J411">
            <v>337.85500000000002</v>
          </cell>
        </row>
        <row r="412">
          <cell r="A412" t="str">
            <v>19A647019B</v>
          </cell>
          <cell r="B412" t="str">
            <v>Фара противотуманная правая</v>
          </cell>
          <cell r="C412" t="str">
            <v>TYC</v>
          </cell>
          <cell r="D412">
            <v>1</v>
          </cell>
          <cell r="E412">
            <v>2305.8849999999998</v>
          </cell>
          <cell r="G412" t="str">
            <v>автолига.рф</v>
          </cell>
          <cell r="H412">
            <v>3100</v>
          </cell>
          <cell r="I412">
            <v>2217</v>
          </cell>
          <cell r="J412">
            <v>2183.7449999999999</v>
          </cell>
        </row>
        <row r="413">
          <cell r="A413" t="str">
            <v>000069690R</v>
          </cell>
          <cell r="B413" t="str">
            <v>Фонарь карманный</v>
          </cell>
          <cell r="C413" t="str">
            <v>VAG</v>
          </cell>
          <cell r="D413">
            <v>1</v>
          </cell>
          <cell r="E413">
            <v>2300</v>
          </cell>
          <cell r="G413" t="str">
            <v>автолига.рф</v>
          </cell>
          <cell r="H413">
            <v>3085</v>
          </cell>
          <cell r="I413">
            <v>1609</v>
          </cell>
          <cell r="J413">
            <v>1584.865</v>
          </cell>
        </row>
        <row r="414">
          <cell r="A414" t="str">
            <v>602002126AA</v>
          </cell>
          <cell r="B414" t="str">
            <v>РЕШЁТКА БАМПЕРА ЗАДНЕГО ЛЕВАЯ T1DPHEV</v>
          </cell>
          <cell r="C414" t="str">
            <v>CHERY</v>
          </cell>
          <cell r="D414">
            <v>1</v>
          </cell>
          <cell r="E414">
            <v>2470</v>
          </cell>
          <cell r="G414" t="str">
            <v>tatparts.ru</v>
          </cell>
          <cell r="H414">
            <v>3062</v>
          </cell>
          <cell r="I414">
            <v>1075</v>
          </cell>
          <cell r="J414">
            <v>1058.875</v>
          </cell>
        </row>
        <row r="415">
          <cell r="A415" t="str">
            <v>LR131337</v>
          </cell>
          <cell r="B415" t="str">
            <v>Кронштейн правый</v>
          </cell>
          <cell r="C415" t="str">
            <v>LANDROVER</v>
          </cell>
          <cell r="D415">
            <v>1</v>
          </cell>
          <cell r="E415">
            <v>2112.8249999999998</v>
          </cell>
          <cell r="G415" t="str">
            <v>автолига.рф</v>
          </cell>
          <cell r="H415">
            <v>3034</v>
          </cell>
          <cell r="I415">
            <v>2145</v>
          </cell>
          <cell r="J415">
            <v>2112.8249999999998</v>
          </cell>
        </row>
        <row r="416">
          <cell r="A416" t="str">
            <v>LR131337</v>
          </cell>
          <cell r="B416" t="str">
            <v>Кронштейн правый</v>
          </cell>
          <cell r="C416" t="str">
            <v>LANDROVER</v>
          </cell>
          <cell r="D416">
            <v>1</v>
          </cell>
          <cell r="E416">
            <v>2112.8249999999998</v>
          </cell>
          <cell r="G416" t="str">
            <v>автолига.рф</v>
          </cell>
          <cell r="H416">
            <v>3348</v>
          </cell>
          <cell r="I416">
            <v>2145</v>
          </cell>
          <cell r="J416">
            <v>2112.8249999999998</v>
          </cell>
        </row>
        <row r="417">
          <cell r="A417" t="str">
            <v>7560142160</v>
          </cell>
          <cell r="B417" t="str">
            <v>НАКЛАДКА КОЛЕСНОЙ АРКИ ПЕРЕДНЯЯ ПРАВАЯ RAV4</v>
          </cell>
          <cell r="C417" t="str">
            <v>TOYOTA</v>
          </cell>
          <cell r="D417">
            <v>1</v>
          </cell>
          <cell r="E417">
            <v>2859.4549999999999</v>
          </cell>
          <cell r="G417" t="str">
            <v>tatparts.ru</v>
          </cell>
          <cell r="H417">
            <v>3031</v>
          </cell>
          <cell r="I417">
            <v>2147</v>
          </cell>
          <cell r="J417">
            <v>2114.7950000000001</v>
          </cell>
        </row>
        <row r="418">
          <cell r="A418" t="str">
            <v>7560142160</v>
          </cell>
          <cell r="B418" t="str">
            <v>НАКЛАДКА КОЛЕСНОЙ АРКИ ПЕРЕДНЯЯ ПРАВАЯ RAV4</v>
          </cell>
          <cell r="C418" t="str">
            <v>TOYOTA</v>
          </cell>
          <cell r="D418">
            <v>3</v>
          </cell>
          <cell r="E418">
            <v>2859.4549999999999</v>
          </cell>
          <cell r="G418" t="str">
            <v>tatparts.ru</v>
          </cell>
          <cell r="H418">
            <v>3031</v>
          </cell>
          <cell r="I418">
            <v>2147</v>
          </cell>
          <cell r="J418">
            <v>2114.7950000000001</v>
          </cell>
        </row>
        <row r="419">
          <cell r="A419" t="str">
            <v>51227205744</v>
          </cell>
          <cell r="B419" t="str">
            <v>Защитный молдинг шахты зд. пр.</v>
          </cell>
          <cell r="C419" t="str">
            <v>BMW</v>
          </cell>
          <cell r="D419">
            <v>1</v>
          </cell>
          <cell r="E419">
            <v>1175.105</v>
          </cell>
          <cell r="G419" t="str">
            <v>tatparts.ru</v>
          </cell>
          <cell r="H419">
            <v>3023</v>
          </cell>
          <cell r="I419">
            <v>593</v>
          </cell>
          <cell r="J419">
            <v>584.10500000000002</v>
          </cell>
        </row>
        <row r="420">
          <cell r="A420" t="str">
            <v>86532L2000</v>
          </cell>
          <cell r="B420" t="str">
            <v>Окантовка решетки радиатора</v>
          </cell>
          <cell r="C420" t="str">
            <v>HYUNDAI/KIA</v>
          </cell>
          <cell r="D420">
            <v>2</v>
          </cell>
          <cell r="E420">
            <v>2241.86</v>
          </cell>
          <cell r="G420" t="str">
            <v>автолига.рф</v>
          </cell>
          <cell r="H420">
            <v>3015</v>
          </cell>
          <cell r="I420">
            <v>2276</v>
          </cell>
          <cell r="J420">
            <v>2241.86</v>
          </cell>
        </row>
        <row r="421">
          <cell r="A421" t="str">
            <v>92152J7000</v>
          </cell>
          <cell r="B421" t="str">
            <v>Кронштейн правой фары</v>
          </cell>
          <cell r="C421" t="str">
            <v>HYUNDAI/KIA</v>
          </cell>
          <cell r="D421">
            <v>1</v>
          </cell>
          <cell r="E421">
            <v>2427.04</v>
          </cell>
          <cell r="G421" t="str">
            <v>автолига.рф</v>
          </cell>
          <cell r="H421">
            <v>3012</v>
          </cell>
          <cell r="I421">
            <v>2464</v>
          </cell>
          <cell r="J421">
            <v>2427.04</v>
          </cell>
        </row>
        <row r="422">
          <cell r="A422" t="str">
            <v>92152J7000</v>
          </cell>
          <cell r="B422" t="str">
            <v>Кронштейн правой фары</v>
          </cell>
          <cell r="C422" t="str">
            <v>HYUNDAI/KIA</v>
          </cell>
          <cell r="D422">
            <v>1</v>
          </cell>
          <cell r="E422">
            <v>2427.04</v>
          </cell>
          <cell r="G422" t="str">
            <v>автолига.рф</v>
          </cell>
          <cell r="H422">
            <v>3009</v>
          </cell>
          <cell r="I422">
            <v>2464</v>
          </cell>
          <cell r="J422">
            <v>2427.04</v>
          </cell>
        </row>
        <row r="423">
          <cell r="A423" t="str">
            <v>51118069895</v>
          </cell>
          <cell r="B423" t="str">
            <v>Кронштейн PDC внутренний левый</v>
          </cell>
          <cell r="C423" t="str">
            <v>BMW</v>
          </cell>
          <cell r="D423">
            <v>1</v>
          </cell>
          <cell r="E423">
            <v>1473.56</v>
          </cell>
          <cell r="G423" t="str">
            <v>автолига.рф</v>
          </cell>
          <cell r="H423">
            <v>2992</v>
          </cell>
          <cell r="I423">
            <v>1496</v>
          </cell>
          <cell r="J423">
            <v>1473.56</v>
          </cell>
        </row>
        <row r="424">
          <cell r="A424" t="str">
            <v>628909891R</v>
          </cell>
          <cell r="B424" t="str">
            <v>Эмблема (пласт)</v>
          </cell>
          <cell r="C424" t="str">
            <v>RENAULT</v>
          </cell>
          <cell r="D424">
            <v>1</v>
          </cell>
          <cell r="E424">
            <v>450</v>
          </cell>
          <cell r="G424" t="str">
            <v>автолига.рф</v>
          </cell>
          <cell r="H424">
            <v>2967</v>
          </cell>
          <cell r="I424">
            <v>426</v>
          </cell>
          <cell r="J424">
            <v>419.61</v>
          </cell>
        </row>
        <row r="425">
          <cell r="A425" t="str">
            <v>5E3857537A GRU</v>
          </cell>
          <cell r="B425" t="str">
            <v>Корпус зеркала грунтовая</v>
          </cell>
          <cell r="C425" t="str">
            <v>VAG</v>
          </cell>
          <cell r="D425">
            <v>1</v>
          </cell>
          <cell r="E425">
            <v>1920</v>
          </cell>
          <cell r="G425" t="str">
            <v>автолига.рф</v>
          </cell>
          <cell r="H425">
            <v>2894</v>
          </cell>
          <cell r="I425">
            <v>1848</v>
          </cell>
          <cell r="J425">
            <v>1820.28</v>
          </cell>
        </row>
        <row r="426">
          <cell r="A426" t="str">
            <v>LR082948</v>
          </cell>
          <cell r="B426" t="str">
            <v>ПАНЕЛЬ ОТДЕЛКИ ДВЕРИ БАГ.ОТД.</v>
          </cell>
          <cell r="C426" t="str">
            <v>LANDROVER</v>
          </cell>
          <cell r="D426">
            <v>1</v>
          </cell>
          <cell r="E426">
            <v>3621.1259500000001</v>
          </cell>
          <cell r="G426" t="str">
            <v>tatparts.ru</v>
          </cell>
          <cell r="H426">
            <v>2893</v>
          </cell>
          <cell r="I426">
            <v>813</v>
          </cell>
          <cell r="J426">
            <v>800.80499999999995</v>
          </cell>
        </row>
        <row r="427">
          <cell r="A427" t="str">
            <v>4411317LLDUE</v>
          </cell>
          <cell r="B427" t="str">
            <v>Фонарь задний левый</v>
          </cell>
          <cell r="C427" t="str">
            <v>DEPO</v>
          </cell>
          <cell r="D427">
            <v>1</v>
          </cell>
          <cell r="E427">
            <v>2338.39</v>
          </cell>
          <cell r="G427" t="str">
            <v>автолига.рф</v>
          </cell>
          <cell r="H427">
            <v>2849</v>
          </cell>
          <cell r="I427">
            <v>2374</v>
          </cell>
          <cell r="J427">
            <v>2338.39</v>
          </cell>
        </row>
        <row r="428">
          <cell r="A428" t="str">
            <v>51118054155</v>
          </cell>
          <cell r="B428" t="str">
            <v xml:space="preserve">Решетка бампера Л Пд </v>
          </cell>
          <cell r="C428" t="str">
            <v>BMW</v>
          </cell>
          <cell r="D428">
            <v>1</v>
          </cell>
          <cell r="E428">
            <v>650</v>
          </cell>
          <cell r="G428" t="str">
            <v>tatparts.ru</v>
          </cell>
          <cell r="H428">
            <v>2813</v>
          </cell>
          <cell r="I428">
            <v>568</v>
          </cell>
          <cell r="J428">
            <v>559.48</v>
          </cell>
        </row>
        <row r="429">
          <cell r="A429" t="str">
            <v>5JJ853492COOR</v>
          </cell>
          <cell r="B429" t="str">
            <v>Накладка порога</v>
          </cell>
          <cell r="C429" t="str">
            <v>VAG</v>
          </cell>
          <cell r="D429">
            <v>1</v>
          </cell>
          <cell r="E429">
            <v>1484.395</v>
          </cell>
          <cell r="G429" t="str">
            <v>tatparts.ru</v>
          </cell>
          <cell r="H429">
            <v>2806</v>
          </cell>
          <cell r="I429">
            <v>1507</v>
          </cell>
          <cell r="J429">
            <v>1484.395</v>
          </cell>
        </row>
        <row r="430">
          <cell r="A430" t="str">
            <v>5215542050</v>
          </cell>
          <cell r="B430" t="str">
            <v>Кронштейн прав.</v>
          </cell>
          <cell r="C430" t="str">
            <v>TOYOTA</v>
          </cell>
          <cell r="D430">
            <v>1</v>
          </cell>
          <cell r="E430">
            <v>1375</v>
          </cell>
          <cell r="G430" t="str">
            <v>автолига.рф</v>
          </cell>
          <cell r="H430">
            <v>2799</v>
          </cell>
          <cell r="I430">
            <v>1102</v>
          </cell>
          <cell r="J430">
            <v>1085.47</v>
          </cell>
        </row>
        <row r="431">
          <cell r="A431" t="str">
            <v>5215542050</v>
          </cell>
          <cell r="B431" t="str">
            <v>Кронштейн прав.</v>
          </cell>
          <cell r="C431" t="str">
            <v>TOYOTA</v>
          </cell>
          <cell r="D431">
            <v>2</v>
          </cell>
          <cell r="E431">
            <v>1375</v>
          </cell>
          <cell r="G431" t="str">
            <v>автолига.рф</v>
          </cell>
          <cell r="H431">
            <v>2319</v>
          </cell>
          <cell r="I431">
            <v>1102</v>
          </cell>
          <cell r="J431">
            <v>1085.47</v>
          </cell>
        </row>
        <row r="432">
          <cell r="A432" t="str">
            <v>6875020122</v>
          </cell>
          <cell r="B432" t="str">
            <v>ПЕТЛЯ ДВЕРИ</v>
          </cell>
          <cell r="C432" t="str">
            <v>TOYOTA</v>
          </cell>
          <cell r="D432">
            <v>1</v>
          </cell>
          <cell r="E432">
            <v>1844.905</v>
          </cell>
          <cell r="G432" t="str">
            <v>автолига.рф</v>
          </cell>
          <cell r="H432">
            <v>2796</v>
          </cell>
          <cell r="I432">
            <v>1873</v>
          </cell>
          <cell r="J432">
            <v>1844.905</v>
          </cell>
        </row>
        <row r="433">
          <cell r="A433" t="str">
            <v>B015347</v>
          </cell>
          <cell r="B433" t="str">
            <v>Молдинг заднего бампера ЛВ</v>
          </cell>
          <cell r="C433" t="str">
            <v>DONGFENG</v>
          </cell>
          <cell r="D433">
            <v>1</v>
          </cell>
          <cell r="E433">
            <v>1934.54</v>
          </cell>
          <cell r="G433" t="str">
            <v>автолига.рф</v>
          </cell>
          <cell r="H433">
            <v>2773</v>
          </cell>
          <cell r="I433">
            <v>1964</v>
          </cell>
          <cell r="J433">
            <v>1934.54</v>
          </cell>
        </row>
        <row r="434">
          <cell r="A434" t="str">
            <v>B015348</v>
          </cell>
          <cell r="B434" t="str">
            <v>Молдинг заднего бампера ПР</v>
          </cell>
          <cell r="C434" t="str">
            <v>DONGFENG</v>
          </cell>
          <cell r="D434">
            <v>1</v>
          </cell>
          <cell r="E434">
            <v>2150.2550000000001</v>
          </cell>
          <cell r="G434" t="str">
            <v>автолига.рф</v>
          </cell>
          <cell r="H434">
            <v>2773</v>
          </cell>
          <cell r="I434">
            <v>2183</v>
          </cell>
          <cell r="J434">
            <v>2150.2550000000001</v>
          </cell>
        </row>
        <row r="435">
          <cell r="A435" t="str">
            <v>86614H0500</v>
          </cell>
          <cell r="B435" t="str">
            <v>Кронштейн заднего бампера правый</v>
          </cell>
          <cell r="C435" t="str">
            <v>Корея</v>
          </cell>
          <cell r="D435">
            <v>7</v>
          </cell>
          <cell r="E435">
            <v>684.57500000000005</v>
          </cell>
          <cell r="H435">
            <v>2764</v>
          </cell>
          <cell r="I435">
            <v>695</v>
          </cell>
          <cell r="J435">
            <v>684.57500000000005</v>
          </cell>
        </row>
        <row r="436">
          <cell r="A436" t="str">
            <v>86614H0500</v>
          </cell>
          <cell r="B436" t="str">
            <v>Кронштейн заднего бампера правый</v>
          </cell>
          <cell r="C436" t="str">
            <v>Корея</v>
          </cell>
          <cell r="D436">
            <v>1</v>
          </cell>
          <cell r="E436">
            <v>684.57500000000005</v>
          </cell>
          <cell r="H436">
            <v>2490</v>
          </cell>
          <cell r="I436">
            <v>695</v>
          </cell>
          <cell r="J436">
            <v>684.57500000000005</v>
          </cell>
        </row>
        <row r="437">
          <cell r="A437" t="str">
            <v>86614H0500</v>
          </cell>
          <cell r="B437" t="str">
            <v>Кронштейн заднего бампера правый</v>
          </cell>
          <cell r="C437" t="str">
            <v>Корея</v>
          </cell>
          <cell r="D437">
            <v>1</v>
          </cell>
          <cell r="E437">
            <v>684.57500000000005</v>
          </cell>
          <cell r="H437">
            <v>2490</v>
          </cell>
          <cell r="I437">
            <v>695</v>
          </cell>
          <cell r="J437">
            <v>684.57500000000005</v>
          </cell>
        </row>
        <row r="438">
          <cell r="A438" t="str">
            <v>86614H0500</v>
          </cell>
          <cell r="B438" t="str">
            <v>Кронштейн заднего бампера правый</v>
          </cell>
          <cell r="C438" t="str">
            <v>Корея</v>
          </cell>
          <cell r="D438">
            <v>4</v>
          </cell>
          <cell r="E438">
            <v>684.57500000000005</v>
          </cell>
          <cell r="H438">
            <v>2334</v>
          </cell>
          <cell r="I438">
            <v>695</v>
          </cell>
          <cell r="J438">
            <v>684.57500000000005</v>
          </cell>
        </row>
        <row r="439">
          <cell r="A439" t="str">
            <v>A00109335</v>
          </cell>
          <cell r="B439" t="str">
            <v>Подкрылок заднего колеса левый U5</v>
          </cell>
          <cell r="C439" t="str">
            <v>BAIC</v>
          </cell>
          <cell r="D439">
            <v>1</v>
          </cell>
          <cell r="E439">
            <v>2622.07</v>
          </cell>
          <cell r="G439" t="str">
            <v>автолига.рф</v>
          </cell>
          <cell r="H439">
            <v>2751</v>
          </cell>
          <cell r="I439">
            <v>2662</v>
          </cell>
          <cell r="J439">
            <v>2622.07</v>
          </cell>
        </row>
        <row r="440">
          <cell r="A440" t="str">
            <v>86560H5000</v>
          </cell>
          <cell r="B440" t="str">
            <v>Усилитель бампера нижний</v>
          </cell>
          <cell r="C440" t="str">
            <v>HYUNDAI/KIA</v>
          </cell>
          <cell r="D440">
            <v>1</v>
          </cell>
          <cell r="E440">
            <v>2498.9450000000002</v>
          </cell>
          <cell r="G440" t="str">
            <v>автолига.рф</v>
          </cell>
          <cell r="H440">
            <v>2730</v>
          </cell>
          <cell r="I440">
            <v>2537</v>
          </cell>
          <cell r="J440">
            <v>2498.9450000000002</v>
          </cell>
        </row>
        <row r="441">
          <cell r="A441" t="str">
            <v>86560H5000</v>
          </cell>
          <cell r="B441" t="str">
            <v>Усилитель бампера нижний</v>
          </cell>
          <cell r="C441" t="str">
            <v>HYUNDAI/KIA</v>
          </cell>
          <cell r="D441">
            <v>1</v>
          </cell>
          <cell r="E441">
            <v>2498.9450000000002</v>
          </cell>
          <cell r="G441" t="str">
            <v>автолига.рф</v>
          </cell>
          <cell r="H441">
            <v>2730</v>
          </cell>
          <cell r="I441">
            <v>2537</v>
          </cell>
          <cell r="J441">
            <v>2498.9450000000002</v>
          </cell>
        </row>
        <row r="442">
          <cell r="A442" t="str">
            <v>86560H5000</v>
          </cell>
          <cell r="B442" t="str">
            <v>Усилитель бампера нижний</v>
          </cell>
          <cell r="C442" t="str">
            <v>HYUNDAI/KIA</v>
          </cell>
          <cell r="D442">
            <v>1</v>
          </cell>
          <cell r="E442">
            <v>2498.9450000000002</v>
          </cell>
          <cell r="G442" t="str">
            <v>автолига.рф</v>
          </cell>
          <cell r="H442">
            <v>2730</v>
          </cell>
          <cell r="I442">
            <v>2537</v>
          </cell>
          <cell r="J442">
            <v>2498.9450000000002</v>
          </cell>
        </row>
        <row r="443">
          <cell r="A443" t="str">
            <v>868849455R</v>
          </cell>
          <cell r="B443" t="str">
            <v>Ремень безопасности пер. прав.</v>
          </cell>
          <cell r="C443" t="str">
            <v>RENAULT</v>
          </cell>
          <cell r="D443">
            <v>1</v>
          </cell>
          <cell r="E443">
            <v>1731.6299999999999</v>
          </cell>
          <cell r="G443" t="str">
            <v>tatparts.ru</v>
          </cell>
          <cell r="H443">
            <v>2702</v>
          </cell>
          <cell r="I443">
            <v>1758</v>
          </cell>
          <cell r="J443">
            <v>1731.6299999999999</v>
          </cell>
        </row>
        <row r="444">
          <cell r="A444" t="str">
            <v>51337395385</v>
          </cell>
          <cell r="B444" t="str">
            <v>Решетка Л</v>
          </cell>
          <cell r="C444" t="str">
            <v>BMW</v>
          </cell>
          <cell r="D444">
            <v>1</v>
          </cell>
          <cell r="E444">
            <v>2500</v>
          </cell>
          <cell r="G444" t="str">
            <v>tatparts.ru</v>
          </cell>
          <cell r="H444">
            <v>2682</v>
          </cell>
          <cell r="I444">
            <v>589</v>
          </cell>
          <cell r="J444">
            <v>580.16499999999996</v>
          </cell>
        </row>
        <row r="445">
          <cell r="A445" t="str">
            <v>57A839912B 5AP</v>
          </cell>
          <cell r="B445" t="str">
            <v>Уплотнитель двери зад.прав.наруж</v>
          </cell>
          <cell r="C445" t="str">
            <v>VAG</v>
          </cell>
          <cell r="D445">
            <v>1</v>
          </cell>
          <cell r="E445">
            <v>880</v>
          </cell>
          <cell r="G445" t="str">
            <v>автолига.рф</v>
          </cell>
          <cell r="H445">
            <v>2676</v>
          </cell>
          <cell r="I445">
            <v>887</v>
          </cell>
          <cell r="J445">
            <v>873.69499999999994</v>
          </cell>
        </row>
        <row r="446">
          <cell r="A446" t="str">
            <v>7L6947105B</v>
          </cell>
          <cell r="B446" t="str">
            <v>Плафон освещения салона передний</v>
          </cell>
          <cell r="C446" t="str">
            <v>VAG</v>
          </cell>
          <cell r="D446">
            <v>1</v>
          </cell>
          <cell r="E446">
            <v>3186.9872</v>
          </cell>
          <cell r="G446" t="str">
            <v>tatparts.ru</v>
          </cell>
          <cell r="H446">
            <v>2662</v>
          </cell>
          <cell r="I446">
            <v>1099</v>
          </cell>
          <cell r="J446">
            <v>1082.5149999999999</v>
          </cell>
        </row>
        <row r="447">
          <cell r="A447" t="str">
            <v>51317388713</v>
          </cell>
          <cell r="B447" t="str">
            <v>Щиток лобового стекла Вх</v>
          </cell>
          <cell r="C447" t="str">
            <v>BMW</v>
          </cell>
          <cell r="D447">
            <v>4</v>
          </cell>
          <cell r="E447">
            <v>2040.92</v>
          </cell>
          <cell r="G447" t="str">
            <v>автолига.рф</v>
          </cell>
          <cell r="H447">
            <v>2652</v>
          </cell>
          <cell r="I447">
            <v>2072</v>
          </cell>
          <cell r="J447">
            <v>2040.92</v>
          </cell>
        </row>
        <row r="448">
          <cell r="A448" t="str">
            <v>7573060050</v>
          </cell>
          <cell r="B448" t="str">
            <v>Молдинг</v>
          </cell>
          <cell r="C448" t="str">
            <v>TOYOTA</v>
          </cell>
          <cell r="D448">
            <v>1</v>
          </cell>
          <cell r="E448">
            <v>2141</v>
          </cell>
          <cell r="G448" t="str">
            <v>tatparts.ru</v>
          </cell>
          <cell r="H448">
            <v>2620</v>
          </cell>
          <cell r="I448">
            <v>879</v>
          </cell>
          <cell r="J448">
            <v>865.81499999999994</v>
          </cell>
        </row>
        <row r="449">
          <cell r="A449" t="str">
            <v>GRY06915ZC</v>
          </cell>
          <cell r="B449" t="str">
            <v>РЕМКОМПЛЕКТ СКЛАДЫВАНИЯ ЗЕРКАЛА ПРАВОГО М6 GJ</v>
          </cell>
          <cell r="C449" t="str">
            <v>Mazda</v>
          </cell>
          <cell r="D449">
            <v>3</v>
          </cell>
          <cell r="E449">
            <v>1737.54</v>
          </cell>
          <cell r="G449" t="str">
            <v>автолига.рф</v>
          </cell>
          <cell r="H449">
            <v>2606</v>
          </cell>
          <cell r="I449">
            <v>1764</v>
          </cell>
          <cell r="J449">
            <v>1737.54</v>
          </cell>
        </row>
        <row r="450">
          <cell r="A450" t="str">
            <v>51112457471</v>
          </cell>
          <cell r="B450" t="str">
            <v>Кт доп.элементов переднего бампера</v>
          </cell>
          <cell r="C450" t="str">
            <v>BMW</v>
          </cell>
          <cell r="D450">
            <v>1</v>
          </cell>
          <cell r="E450">
            <v>1103.2</v>
          </cell>
          <cell r="G450" t="str">
            <v>tatparts.ru</v>
          </cell>
          <cell r="H450">
            <v>2574</v>
          </cell>
          <cell r="I450">
            <v>898</v>
          </cell>
          <cell r="J450">
            <v>884.53</v>
          </cell>
        </row>
        <row r="451">
          <cell r="A451" t="str">
            <v>57A945702</v>
          </cell>
          <cell r="B451" t="str">
            <v>Световозвращатель</v>
          </cell>
          <cell r="C451" t="str">
            <v>VAG</v>
          </cell>
          <cell r="D451">
            <v>1</v>
          </cell>
          <cell r="E451">
            <v>800</v>
          </cell>
          <cell r="G451" t="str">
            <v>tatparts.ru</v>
          </cell>
          <cell r="H451">
            <v>2541</v>
          </cell>
          <cell r="I451">
            <v>749</v>
          </cell>
          <cell r="J451">
            <v>737.76499999999999</v>
          </cell>
        </row>
        <row r="452">
          <cell r="A452" t="str">
            <v>86132C5000</v>
          </cell>
          <cell r="B452" t="str">
            <v>Окантовка молдинга прав</v>
          </cell>
          <cell r="C452" t="str">
            <v>HYUNDAI/KIA</v>
          </cell>
          <cell r="D452">
            <v>1</v>
          </cell>
          <cell r="E452">
            <v>2632.9049999999997</v>
          </cell>
          <cell r="G452" t="str">
            <v>автолига.рф</v>
          </cell>
          <cell r="H452">
            <v>2495</v>
          </cell>
          <cell r="I452">
            <v>2007</v>
          </cell>
          <cell r="J452">
            <v>1976.895</v>
          </cell>
        </row>
        <row r="453">
          <cell r="A453" t="str">
            <v>86613H0500</v>
          </cell>
          <cell r="B453" t="str">
            <v>Кронштейн бампера заднего левый</v>
          </cell>
          <cell r="C453" t="str">
            <v>HYUNDAI/KIA</v>
          </cell>
          <cell r="D453">
            <v>2</v>
          </cell>
          <cell r="E453">
            <v>680</v>
          </cell>
          <cell r="G453" t="str">
            <v>автолига.рф</v>
          </cell>
          <cell r="H453">
            <v>2490</v>
          </cell>
          <cell r="I453">
            <v>686</v>
          </cell>
          <cell r="J453">
            <v>675.71</v>
          </cell>
        </row>
        <row r="454">
          <cell r="A454" t="str">
            <v>51117295268</v>
          </cell>
          <cell r="B454" t="str">
            <v>Решетка воздухозаборника полузакр.П</v>
          </cell>
          <cell r="C454" t="str">
            <v>BMW</v>
          </cell>
          <cell r="D454">
            <v>1</v>
          </cell>
          <cell r="E454">
            <v>1050</v>
          </cell>
          <cell r="G454" t="str">
            <v>автолига.рф</v>
          </cell>
          <cell r="H454">
            <v>2462</v>
          </cell>
          <cell r="I454">
            <v>1039</v>
          </cell>
          <cell r="J454">
            <v>1023.415</v>
          </cell>
        </row>
        <row r="455">
          <cell r="A455" t="str">
            <v>GDDC51721A</v>
          </cell>
          <cell r="B455" t="str">
            <v>ЭМБЛЕМА "МАЗДА6" ПЛАСТ. M6'2018/20</v>
          </cell>
          <cell r="C455" t="str">
            <v>Mazda</v>
          </cell>
          <cell r="D455">
            <v>1</v>
          </cell>
          <cell r="E455">
            <v>1653.8150000000001</v>
          </cell>
          <cell r="G455" t="str">
            <v>автолига.рф</v>
          </cell>
          <cell r="H455">
            <v>2454</v>
          </cell>
          <cell r="I455">
            <v>1679</v>
          </cell>
          <cell r="J455">
            <v>1653.8150000000001</v>
          </cell>
        </row>
        <row r="456">
          <cell r="A456" t="str">
            <v>86577G6700</v>
          </cell>
          <cell r="B456" t="str">
            <v>Панель защитная переднего бампера</v>
          </cell>
          <cell r="C456" t="str">
            <v>HYUNDAI/KIA</v>
          </cell>
          <cell r="D456">
            <v>1</v>
          </cell>
          <cell r="E456">
            <v>2601.3849999999998</v>
          </cell>
          <cell r="G456" t="str">
            <v>автолига.рф</v>
          </cell>
          <cell r="H456">
            <v>2399</v>
          </cell>
          <cell r="I456">
            <v>2351</v>
          </cell>
          <cell r="J456">
            <v>2315.7350000000001</v>
          </cell>
        </row>
        <row r="457">
          <cell r="A457" t="str">
            <v>5380460060</v>
          </cell>
          <cell r="B457" t="str">
            <v>КРОНШТЕЙН</v>
          </cell>
          <cell r="C457" t="str">
            <v>TOYOTA</v>
          </cell>
          <cell r="D457">
            <v>1</v>
          </cell>
          <cell r="E457">
            <v>2168.9699999999998</v>
          </cell>
          <cell r="G457" t="str">
            <v>автолига.рф</v>
          </cell>
          <cell r="H457">
            <v>2370</v>
          </cell>
          <cell r="I457">
            <v>2120</v>
          </cell>
          <cell r="J457">
            <v>2088.1999999999998</v>
          </cell>
        </row>
        <row r="458">
          <cell r="A458" t="str">
            <v>825702715R</v>
          </cell>
          <cell r="B458" t="str">
            <v>Фиксатор замка двери</v>
          </cell>
          <cell r="C458" t="str">
            <v>RENAULT</v>
          </cell>
          <cell r="D458">
            <v>1</v>
          </cell>
          <cell r="E458">
            <v>2905.75</v>
          </cell>
          <cell r="G458" t="str">
            <v>tatparts.ru</v>
          </cell>
          <cell r="H458">
            <v>2356</v>
          </cell>
          <cell r="I458">
            <v>343</v>
          </cell>
          <cell r="J458">
            <v>337.85500000000002</v>
          </cell>
        </row>
        <row r="459">
          <cell r="A459" t="str">
            <v>638A06958R</v>
          </cell>
          <cell r="B459" t="str">
            <v>Проставка крыло-стойка пер прав</v>
          </cell>
          <cell r="C459" t="str">
            <v>RENAULT</v>
          </cell>
          <cell r="D459">
            <v>1</v>
          </cell>
          <cell r="E459">
            <v>1250</v>
          </cell>
          <cell r="G459" t="str">
            <v>автолига.рф</v>
          </cell>
          <cell r="H459">
            <v>2352</v>
          </cell>
          <cell r="I459">
            <v>1245</v>
          </cell>
          <cell r="J459">
            <v>1226.325</v>
          </cell>
        </row>
        <row r="460">
          <cell r="A460" t="str">
            <v>LR083081</v>
          </cell>
          <cell r="B460" t="str">
            <v>Эмблема "HSE"</v>
          </cell>
          <cell r="C460" t="str">
            <v>LANDROVER</v>
          </cell>
          <cell r="D460">
            <v>1</v>
          </cell>
          <cell r="E460">
            <v>2932.37455</v>
          </cell>
          <cell r="G460" t="str">
            <v>tatparts.ru</v>
          </cell>
          <cell r="H460">
            <v>2343</v>
          </cell>
          <cell r="I460">
            <v>479</v>
          </cell>
          <cell r="J460">
            <v>471.815</v>
          </cell>
        </row>
        <row r="461">
          <cell r="A461" t="str">
            <v>5835660030</v>
          </cell>
          <cell r="B461" t="str">
            <v>КРОНШТЕЙН ЗАДНЕГО БАМПЕРА</v>
          </cell>
          <cell r="C461" t="str">
            <v>TOYOTA</v>
          </cell>
          <cell r="D461">
            <v>1</v>
          </cell>
          <cell r="E461">
            <v>1700.11</v>
          </cell>
          <cell r="G461" t="str">
            <v>автолига.рф</v>
          </cell>
          <cell r="H461">
            <v>2340</v>
          </cell>
          <cell r="I461">
            <v>1726</v>
          </cell>
          <cell r="J461">
            <v>1700.11</v>
          </cell>
        </row>
        <row r="462">
          <cell r="A462" t="str">
            <v>638A13620R</v>
          </cell>
          <cell r="B462" t="str">
            <v>Проставка крыло-стойка пер лев</v>
          </cell>
          <cell r="C462" t="str">
            <v>RENAULT</v>
          </cell>
          <cell r="D462">
            <v>1</v>
          </cell>
          <cell r="E462">
            <v>1532.66</v>
          </cell>
          <cell r="G462" t="str">
            <v>автолига.рф</v>
          </cell>
          <cell r="H462">
            <v>2329</v>
          </cell>
          <cell r="I462">
            <v>1556</v>
          </cell>
          <cell r="J462">
            <v>1532.66</v>
          </cell>
        </row>
        <row r="463">
          <cell r="A463" t="str">
            <v>638A13620R</v>
          </cell>
          <cell r="B463" t="str">
            <v>Проставка крыло-стойка пер лев</v>
          </cell>
          <cell r="C463" t="str">
            <v>RENAULT</v>
          </cell>
          <cell r="D463">
            <v>2</v>
          </cell>
          <cell r="E463">
            <v>1532.66</v>
          </cell>
          <cell r="G463" t="str">
            <v>автолига.рф</v>
          </cell>
          <cell r="H463">
            <v>2351</v>
          </cell>
          <cell r="I463">
            <v>1556</v>
          </cell>
          <cell r="J463">
            <v>1532.66</v>
          </cell>
        </row>
        <row r="464">
          <cell r="A464" t="str">
            <v>8450008043</v>
          </cell>
          <cell r="B464" t="str">
            <v>Зеркало наружное левое в сборе Vesta механическое</v>
          </cell>
          <cell r="C464" t="str">
            <v>LADA</v>
          </cell>
          <cell r="D464">
            <v>1</v>
          </cell>
          <cell r="E464">
            <v>1790</v>
          </cell>
          <cell r="G464" t="str">
            <v>tatparts.ru</v>
          </cell>
          <cell r="H464">
            <v>2315</v>
          </cell>
          <cell r="I464">
            <v>1667</v>
          </cell>
          <cell r="J464">
            <v>1641.9949999999999</v>
          </cell>
        </row>
        <row r="465">
          <cell r="A465" t="str">
            <v>86591D4200</v>
          </cell>
          <cell r="B465" t="str">
            <v xml:space="preserve">ЮБКА БАМПЕРА </v>
          </cell>
          <cell r="C465" t="str">
            <v>HYUNDAI/KIA</v>
          </cell>
          <cell r="D465">
            <v>1</v>
          </cell>
          <cell r="E465">
            <v>735.79499999999996</v>
          </cell>
          <cell r="G465" t="str">
            <v>автолига.рф</v>
          </cell>
          <cell r="H465">
            <v>2310</v>
          </cell>
          <cell r="I465">
            <v>747</v>
          </cell>
          <cell r="J465">
            <v>735.79499999999996</v>
          </cell>
        </row>
        <row r="466">
          <cell r="A466" t="str">
            <v>861302T000</v>
          </cell>
          <cell r="B466" t="str">
            <v>Молдинг лобового стекла optima</v>
          </cell>
          <cell r="C466" t="str">
            <v>HYUNDAI/KIA</v>
          </cell>
          <cell r="D466">
            <v>1</v>
          </cell>
          <cell r="E466">
            <v>850</v>
          </cell>
          <cell r="G466" t="str">
            <v>автолига.рф</v>
          </cell>
          <cell r="H466">
            <v>2299</v>
          </cell>
          <cell r="I466">
            <v>849</v>
          </cell>
          <cell r="J466">
            <v>836.26499999999999</v>
          </cell>
        </row>
        <row r="467">
          <cell r="A467" t="str">
            <v>86696J7000</v>
          </cell>
          <cell r="B467" t="str">
            <v>Пыльник заднего бампера правый</v>
          </cell>
          <cell r="C467" t="str">
            <v>HYUNDAI/KIA</v>
          </cell>
          <cell r="D467">
            <v>1</v>
          </cell>
          <cell r="E467">
            <v>1790</v>
          </cell>
          <cell r="G467" t="str">
            <v>автолига.рф</v>
          </cell>
          <cell r="H467">
            <v>2299</v>
          </cell>
          <cell r="I467">
            <v>1811</v>
          </cell>
          <cell r="J467">
            <v>1783.835</v>
          </cell>
        </row>
        <row r="468">
          <cell r="A468" t="str">
            <v>86696J7000</v>
          </cell>
          <cell r="B468" t="str">
            <v>Пыльник заднего бампера правый</v>
          </cell>
          <cell r="C468" t="str">
            <v>HYUNDAI/KIA</v>
          </cell>
          <cell r="D468">
            <v>1</v>
          </cell>
          <cell r="E468">
            <v>1790</v>
          </cell>
          <cell r="G468" t="str">
            <v>автолига.рф</v>
          </cell>
          <cell r="H468">
            <v>2301</v>
          </cell>
          <cell r="I468">
            <v>1811</v>
          </cell>
          <cell r="J468">
            <v>1783.835</v>
          </cell>
        </row>
        <row r="469">
          <cell r="A469" t="str">
            <v>86696J7000</v>
          </cell>
          <cell r="B469" t="str">
            <v>Пыльник заднего бампера правый</v>
          </cell>
          <cell r="C469" t="str">
            <v>HYUNDAI/KIA</v>
          </cell>
          <cell r="D469">
            <v>1</v>
          </cell>
          <cell r="E469">
            <v>1790</v>
          </cell>
          <cell r="G469" t="str">
            <v>автолига.рф</v>
          </cell>
          <cell r="H469">
            <v>2301</v>
          </cell>
          <cell r="I469">
            <v>1811</v>
          </cell>
          <cell r="J469">
            <v>1783.835</v>
          </cell>
        </row>
        <row r="470">
          <cell r="A470" t="str">
            <v>T4N12868</v>
          </cell>
          <cell r="B470" t="str">
            <v>ЗАЩИТНАЯ ЛЕНТА ЗАД.ПРАВ</v>
          </cell>
          <cell r="C470" t="str">
            <v>JAGUAR</v>
          </cell>
          <cell r="D470">
            <v>1</v>
          </cell>
          <cell r="E470">
            <v>199</v>
          </cell>
          <cell r="G470" t="str">
            <v>автолига.рф</v>
          </cell>
          <cell r="H470">
            <v>2293</v>
          </cell>
          <cell r="I470">
            <v>82</v>
          </cell>
          <cell r="J470">
            <v>80.77</v>
          </cell>
        </row>
        <row r="471">
          <cell r="A471" t="str">
            <v>86132D2000</v>
          </cell>
          <cell r="B471" t="str">
            <v>Молдинг лобового стекла прав.</v>
          </cell>
          <cell r="C471" t="str">
            <v>HYUNDAI/KIA</v>
          </cell>
          <cell r="D471">
            <v>1</v>
          </cell>
          <cell r="E471">
            <v>1150</v>
          </cell>
          <cell r="G471" t="str">
            <v>автолига.рф</v>
          </cell>
          <cell r="H471">
            <v>2229</v>
          </cell>
          <cell r="I471">
            <v>804</v>
          </cell>
          <cell r="J471">
            <v>791.93999999999994</v>
          </cell>
        </row>
        <row r="472">
          <cell r="A472" t="str">
            <v>86652F2000</v>
          </cell>
          <cell r="B472" t="str">
            <v>Панель кузова</v>
          </cell>
          <cell r="C472" t="str">
            <v>HYUNDAI/KIA</v>
          </cell>
          <cell r="D472">
            <v>1</v>
          </cell>
          <cell r="E472">
            <v>2200</v>
          </cell>
          <cell r="G472" t="str">
            <v>tatparts.ru</v>
          </cell>
          <cell r="H472">
            <v>2193</v>
          </cell>
          <cell r="I472">
            <v>1096</v>
          </cell>
          <cell r="J472">
            <v>1079.56</v>
          </cell>
        </row>
        <row r="473">
          <cell r="A473" t="str">
            <v>GSH750103</v>
          </cell>
          <cell r="B473" t="str">
            <v>КРЫШКА БАМПЕРА ПР.</v>
          </cell>
          <cell r="C473" t="str">
            <v>Mazda</v>
          </cell>
          <cell r="D473">
            <v>1</v>
          </cell>
          <cell r="E473">
            <v>1350</v>
          </cell>
          <cell r="G473" t="str">
            <v>автолига.рф</v>
          </cell>
          <cell r="H473">
            <v>2168</v>
          </cell>
          <cell r="I473">
            <v>1320</v>
          </cell>
          <cell r="J473">
            <v>1300.2</v>
          </cell>
        </row>
        <row r="474">
          <cell r="A474" t="str">
            <v>8200848950</v>
          </cell>
          <cell r="B474" t="str">
            <v>ЩИТОК ЗАДНЕЙ ПРАВОЙ АРКИ КОЛЕСА</v>
          </cell>
          <cell r="C474" t="str">
            <v>RENAULT</v>
          </cell>
          <cell r="D474">
            <v>1</v>
          </cell>
          <cell r="E474">
            <v>1368</v>
          </cell>
          <cell r="G474" t="str">
            <v>tatparts.ru</v>
          </cell>
          <cell r="H474">
            <v>2164</v>
          </cell>
          <cell r="I474">
            <v>771</v>
          </cell>
          <cell r="J474">
            <v>759.43499999999995</v>
          </cell>
        </row>
        <row r="475">
          <cell r="A475" t="str">
            <v>GSH750350</v>
          </cell>
          <cell r="B475" t="str">
            <v>ПОДКРЫЛОК ПЛАСТИКОВЫЙ ЛЕВЫЙ</v>
          </cell>
          <cell r="C475" t="str">
            <v>Mazda</v>
          </cell>
          <cell r="D475">
            <v>1</v>
          </cell>
          <cell r="E475">
            <v>2016.2950000000001</v>
          </cell>
          <cell r="G475" t="str">
            <v>автолига.рф</v>
          </cell>
          <cell r="H475">
            <v>2158</v>
          </cell>
          <cell r="I475">
            <v>2047</v>
          </cell>
          <cell r="J475">
            <v>2016.2950000000001</v>
          </cell>
        </row>
        <row r="476">
          <cell r="A476" t="str">
            <v>51477260929</v>
          </cell>
          <cell r="B476" t="str">
            <v>Накладка порога Пд</v>
          </cell>
          <cell r="C476" t="str">
            <v>BMW</v>
          </cell>
          <cell r="D476">
            <v>1</v>
          </cell>
          <cell r="E476">
            <v>2697.3535499999998</v>
          </cell>
          <cell r="G476" t="str">
            <v>tatparts.ru</v>
          </cell>
          <cell r="H476">
            <v>2155</v>
          </cell>
          <cell r="I476">
            <v>1130</v>
          </cell>
          <cell r="J476">
            <v>1113.05</v>
          </cell>
        </row>
        <row r="477">
          <cell r="A477" t="str">
            <v>5261560050</v>
          </cell>
          <cell r="B477" t="str">
            <v>АМОРТИЗАТОР ЗАДНЕГО БАМПЕРА</v>
          </cell>
          <cell r="C477" t="str">
            <v>TOYOTA</v>
          </cell>
          <cell r="D477">
            <v>1</v>
          </cell>
          <cell r="E477">
            <v>1892.1849999999999</v>
          </cell>
          <cell r="G477" t="str">
            <v>автолига.рф</v>
          </cell>
          <cell r="H477">
            <v>2134</v>
          </cell>
          <cell r="I477">
            <v>1921</v>
          </cell>
          <cell r="J477">
            <v>1892.1849999999999</v>
          </cell>
        </row>
        <row r="478">
          <cell r="A478" t="str">
            <v>5E6839697B 5AP</v>
          </cell>
          <cell r="B478" t="str">
            <v>Уплотнитель двери наружный слева сзади</v>
          </cell>
          <cell r="C478" t="str">
            <v>VAG</v>
          </cell>
          <cell r="D478">
            <v>2</v>
          </cell>
          <cell r="E478">
            <v>550</v>
          </cell>
          <cell r="G478" t="str">
            <v>tatparts.ru</v>
          </cell>
          <cell r="H478">
            <v>2123</v>
          </cell>
          <cell r="I478">
            <v>551</v>
          </cell>
          <cell r="J478">
            <v>542.73500000000001</v>
          </cell>
        </row>
        <row r="479">
          <cell r="A479" t="str">
            <v>623120554R</v>
          </cell>
          <cell r="B479" t="str">
            <v>Заглушка решетки верхняя</v>
          </cell>
          <cell r="C479" t="str">
            <v>RENAULT</v>
          </cell>
          <cell r="D479">
            <v>1</v>
          </cell>
          <cell r="E479">
            <v>166</v>
          </cell>
          <cell r="G479" t="str">
            <v>tatparts.ru</v>
          </cell>
          <cell r="H479">
            <v>2123</v>
          </cell>
          <cell r="I479">
            <v>138</v>
          </cell>
          <cell r="J479">
            <v>135.93</v>
          </cell>
        </row>
        <row r="480">
          <cell r="A480" t="str">
            <v>623120554R</v>
          </cell>
          <cell r="B480" t="str">
            <v>Заглушка решетки верхняя</v>
          </cell>
          <cell r="C480" t="str">
            <v>RENAULT</v>
          </cell>
          <cell r="D480">
            <v>1</v>
          </cell>
          <cell r="E480">
            <v>166</v>
          </cell>
          <cell r="G480" t="str">
            <v>tatparts.ru</v>
          </cell>
          <cell r="H480">
            <v>1953</v>
          </cell>
          <cell r="I480">
            <v>138</v>
          </cell>
          <cell r="J480">
            <v>135.93</v>
          </cell>
        </row>
        <row r="481">
          <cell r="A481" t="str">
            <v>609001619AA</v>
          </cell>
          <cell r="B481" t="str">
            <v xml:space="preserve">ЛОГОТИП КРЫЛА ПРАВОГО </v>
          </cell>
          <cell r="C481" t="str">
            <v>CHERY</v>
          </cell>
          <cell r="D481">
            <v>1</v>
          </cell>
          <cell r="E481">
            <v>1100.2449999999999</v>
          </cell>
          <cell r="G481" t="str">
            <v>автолига.рф</v>
          </cell>
          <cell r="H481">
            <v>2095</v>
          </cell>
          <cell r="I481">
            <v>1117</v>
          </cell>
          <cell r="J481">
            <v>1100.2449999999999</v>
          </cell>
        </row>
        <row r="482">
          <cell r="A482" t="str">
            <v>GDDL51771</v>
          </cell>
          <cell r="B482" t="str">
            <v>ЭМБЛЕМА "SKYACTIV" ЗАДНЯЯ ПЛАСТИКОВАЯ M6'2019</v>
          </cell>
          <cell r="C482" t="str">
            <v>Mazda</v>
          </cell>
          <cell r="D482">
            <v>1</v>
          </cell>
          <cell r="E482">
            <v>1106.155</v>
          </cell>
          <cell r="G482" t="str">
            <v>автолига.рф</v>
          </cell>
          <cell r="H482">
            <v>2074</v>
          </cell>
          <cell r="I482">
            <v>1123</v>
          </cell>
          <cell r="J482">
            <v>1106.155</v>
          </cell>
        </row>
        <row r="483">
          <cell r="A483" t="str">
            <v>57A853687A2ZZ</v>
          </cell>
          <cell r="B483" t="str">
            <v xml:space="preserve">Шильдик с надписью </v>
          </cell>
          <cell r="C483" t="str">
            <v>VAG</v>
          </cell>
          <cell r="D483">
            <v>1</v>
          </cell>
          <cell r="E483">
            <v>550</v>
          </cell>
          <cell r="G483" t="str">
            <v>автолига.рф</v>
          </cell>
          <cell r="H483">
            <v>2051</v>
          </cell>
          <cell r="I483">
            <v>546</v>
          </cell>
          <cell r="J483">
            <v>537.80999999999995</v>
          </cell>
        </row>
        <row r="484">
          <cell r="A484" t="str">
            <v>51317350589</v>
          </cell>
          <cell r="B484" t="str">
            <v>Крышка, лобовое стекло, верхняя</v>
          </cell>
          <cell r="C484" t="str">
            <v>BMW</v>
          </cell>
          <cell r="D484">
            <v>2</v>
          </cell>
          <cell r="E484">
            <v>1636.085</v>
          </cell>
          <cell r="G484" t="str">
            <v>автолига.рф</v>
          </cell>
          <cell r="H484">
            <v>2048</v>
          </cell>
          <cell r="I484">
            <v>1661</v>
          </cell>
          <cell r="J484">
            <v>1636.085</v>
          </cell>
        </row>
        <row r="485">
          <cell r="A485" t="str">
            <v>86300L2000</v>
          </cell>
          <cell r="B485" t="str">
            <v>Эмблема</v>
          </cell>
          <cell r="C485" t="str">
            <v>HYUNDAI/KIA</v>
          </cell>
          <cell r="D485">
            <v>3</v>
          </cell>
          <cell r="E485">
            <v>656.01</v>
          </cell>
          <cell r="G485" t="str">
            <v>автолига.рф</v>
          </cell>
          <cell r="H485">
            <v>2040</v>
          </cell>
          <cell r="I485">
            <v>650</v>
          </cell>
          <cell r="J485">
            <v>640.25</v>
          </cell>
        </row>
        <row r="486">
          <cell r="A486" t="str">
            <v>6K0803615C</v>
          </cell>
          <cell r="B486" t="str">
            <v>Крюк буксировочный</v>
          </cell>
          <cell r="C486" t="str">
            <v>VAG</v>
          </cell>
          <cell r="D486">
            <v>5</v>
          </cell>
          <cell r="E486">
            <v>950</v>
          </cell>
          <cell r="G486" t="str">
            <v>автолига.рф</v>
          </cell>
          <cell r="H486">
            <v>1992</v>
          </cell>
          <cell r="I486">
            <v>764</v>
          </cell>
          <cell r="J486">
            <v>752.54</v>
          </cell>
        </row>
        <row r="487">
          <cell r="A487" t="str">
            <v>6K0803615C</v>
          </cell>
          <cell r="B487" t="str">
            <v>Крюк буксировочный</v>
          </cell>
          <cell r="C487" t="str">
            <v>VAG</v>
          </cell>
          <cell r="D487">
            <v>25</v>
          </cell>
          <cell r="E487">
            <v>950</v>
          </cell>
          <cell r="G487" t="str">
            <v>автолига.рф</v>
          </cell>
          <cell r="H487">
            <v>1992</v>
          </cell>
          <cell r="I487">
            <v>764</v>
          </cell>
          <cell r="J487">
            <v>752.54</v>
          </cell>
        </row>
        <row r="488">
          <cell r="A488" t="str">
            <v>6K0803615C</v>
          </cell>
          <cell r="B488" t="str">
            <v>Крюк буксировочный</v>
          </cell>
          <cell r="C488" t="str">
            <v>VAG</v>
          </cell>
          <cell r="D488">
            <v>89</v>
          </cell>
          <cell r="E488">
            <v>950</v>
          </cell>
          <cell r="G488" t="str">
            <v>автолига.рф</v>
          </cell>
          <cell r="H488">
            <v>1992</v>
          </cell>
          <cell r="I488">
            <v>764</v>
          </cell>
          <cell r="J488">
            <v>752.54</v>
          </cell>
        </row>
        <row r="489">
          <cell r="A489" t="str">
            <v>6K0803615C</v>
          </cell>
          <cell r="B489" t="str">
            <v>Крюк буксировочный</v>
          </cell>
          <cell r="C489" t="str">
            <v>VAG</v>
          </cell>
          <cell r="D489">
            <v>4</v>
          </cell>
          <cell r="E489">
            <v>950</v>
          </cell>
          <cell r="G489" t="str">
            <v>автолига.рф</v>
          </cell>
          <cell r="H489">
            <v>1992</v>
          </cell>
          <cell r="I489">
            <v>764</v>
          </cell>
          <cell r="J489">
            <v>752.54</v>
          </cell>
        </row>
        <row r="490">
          <cell r="A490" t="str">
            <v>2GL945105A</v>
          </cell>
          <cell r="B490" t="str">
            <v>Световозвращатель заднего бампера левый</v>
          </cell>
          <cell r="C490" t="str">
            <v>VAG</v>
          </cell>
          <cell r="D490">
            <v>1</v>
          </cell>
          <cell r="E490">
            <v>400</v>
          </cell>
          <cell r="G490" t="str">
            <v>tatparts.ru</v>
          </cell>
          <cell r="H490">
            <v>1935</v>
          </cell>
          <cell r="I490">
            <v>375</v>
          </cell>
          <cell r="J490">
            <v>369.375</v>
          </cell>
        </row>
        <row r="491">
          <cell r="A491" t="str">
            <v>4D0133335</v>
          </cell>
          <cell r="B491" t="str">
            <v>Штуцер</v>
          </cell>
          <cell r="C491" t="str">
            <v>VAG</v>
          </cell>
          <cell r="D491">
            <v>1</v>
          </cell>
          <cell r="E491">
            <v>1200</v>
          </cell>
          <cell r="G491" t="str">
            <v>автолига.рф</v>
          </cell>
          <cell r="H491">
            <v>1922</v>
          </cell>
          <cell r="I491">
            <v>1212</v>
          </cell>
          <cell r="J491">
            <v>1193.82</v>
          </cell>
        </row>
        <row r="492">
          <cell r="A492" t="str">
            <v>4D0133335</v>
          </cell>
          <cell r="B492" t="str">
            <v>Штуцер</v>
          </cell>
          <cell r="C492" t="str">
            <v>VAG</v>
          </cell>
          <cell r="D492">
            <v>1</v>
          </cell>
          <cell r="E492">
            <v>1200</v>
          </cell>
          <cell r="G492" t="str">
            <v>автолига.рф</v>
          </cell>
          <cell r="H492">
            <v>1247</v>
          </cell>
          <cell r="I492">
            <v>1212</v>
          </cell>
          <cell r="J492">
            <v>1193.82</v>
          </cell>
        </row>
        <row r="493">
          <cell r="A493" t="str">
            <v>83665H5000</v>
          </cell>
          <cell r="B493" t="str">
            <v>Основание ручки двери</v>
          </cell>
          <cell r="C493" t="str">
            <v>HYUNDAI/KIA</v>
          </cell>
          <cell r="D493">
            <v>1</v>
          </cell>
          <cell r="E493">
            <v>1260</v>
          </cell>
          <cell r="G493" t="str">
            <v>автолига.рф</v>
          </cell>
          <cell r="H493">
            <v>1903</v>
          </cell>
          <cell r="I493">
            <v>1277</v>
          </cell>
          <cell r="J493">
            <v>1257.845</v>
          </cell>
        </row>
        <row r="494">
          <cell r="A494" t="str">
            <v>822101C001</v>
          </cell>
          <cell r="B494" t="str">
            <v>Нащельник окна двери</v>
          </cell>
          <cell r="C494" t="str">
            <v>HYUNDAI/KIA</v>
          </cell>
          <cell r="D494">
            <v>2</v>
          </cell>
          <cell r="E494">
            <v>952.495</v>
          </cell>
          <cell r="G494" t="str">
            <v>tatparts.ru</v>
          </cell>
          <cell r="H494">
            <v>1902</v>
          </cell>
          <cell r="I494">
            <v>967</v>
          </cell>
          <cell r="J494">
            <v>952.495</v>
          </cell>
        </row>
        <row r="495">
          <cell r="A495" t="str">
            <v>808209910R</v>
          </cell>
          <cell r="B495" t="str">
            <v>Накладка двери пер. прав.</v>
          </cell>
          <cell r="C495" t="str">
            <v>RENAULT</v>
          </cell>
          <cell r="D495">
            <v>1</v>
          </cell>
          <cell r="E495">
            <v>139.87</v>
          </cell>
          <cell r="G495" t="str">
            <v>автолига.рф</v>
          </cell>
          <cell r="H495">
            <v>1873</v>
          </cell>
          <cell r="I495">
            <v>138</v>
          </cell>
          <cell r="J495">
            <v>135.93</v>
          </cell>
        </row>
        <row r="496">
          <cell r="A496" t="str">
            <v>602001901AA</v>
          </cell>
          <cell r="B496" t="str">
            <v>ВСТАВКА ПЕРЕДНЕГО БАМПЕРА НИЖНЯЯ ЛЕВАЯ T1C</v>
          </cell>
          <cell r="C496" t="str">
            <v>CHERY</v>
          </cell>
          <cell r="D496">
            <v>1</v>
          </cell>
          <cell r="E496">
            <v>1471.59</v>
          </cell>
          <cell r="G496" t="str">
            <v>автолига.рф</v>
          </cell>
          <cell r="H496">
            <v>1867</v>
          </cell>
          <cell r="I496">
            <v>1494</v>
          </cell>
          <cell r="J496">
            <v>1471.59</v>
          </cell>
        </row>
        <row r="497">
          <cell r="A497" t="str">
            <v>554000210AA</v>
          </cell>
          <cell r="B497" t="str">
            <v>УПОР КАПОТА ГАЗОВЫЙ СЕ</v>
          </cell>
          <cell r="C497" t="str">
            <v>CHERY</v>
          </cell>
          <cell r="D497">
            <v>1</v>
          </cell>
          <cell r="E497">
            <v>868.77</v>
          </cell>
          <cell r="G497" t="str">
            <v>tatparts.ru</v>
          </cell>
          <cell r="H497">
            <v>1860</v>
          </cell>
          <cell r="I497">
            <v>779</v>
          </cell>
          <cell r="J497">
            <v>767.31499999999994</v>
          </cell>
        </row>
        <row r="498">
          <cell r="A498" t="str">
            <v>554000210AA</v>
          </cell>
          <cell r="B498" t="str">
            <v>УПОР КАПОТА ГАЗОВЫЙ СЕ</v>
          </cell>
          <cell r="C498" t="str">
            <v>CHERY</v>
          </cell>
          <cell r="D498">
            <v>1</v>
          </cell>
          <cell r="E498">
            <v>868.77</v>
          </cell>
          <cell r="G498" t="str">
            <v>tatparts.ru</v>
          </cell>
          <cell r="H498">
            <v>1860</v>
          </cell>
          <cell r="I498">
            <v>779</v>
          </cell>
          <cell r="J498">
            <v>767.31499999999994</v>
          </cell>
        </row>
        <row r="499">
          <cell r="A499" t="str">
            <v>511807059R</v>
          </cell>
          <cell r="B499" t="str">
            <v>Заглушка буксировочная</v>
          </cell>
          <cell r="C499" t="str">
            <v>RENAULT</v>
          </cell>
          <cell r="D499">
            <v>1</v>
          </cell>
          <cell r="E499">
            <v>500</v>
          </cell>
          <cell r="G499" t="str">
            <v>tatparts.ru</v>
          </cell>
          <cell r="H499">
            <v>1851</v>
          </cell>
          <cell r="I499">
            <v>209</v>
          </cell>
          <cell r="J499">
            <v>205.86500000000001</v>
          </cell>
        </row>
        <row r="500">
          <cell r="A500" t="str">
            <v>92405D3510</v>
          </cell>
          <cell r="B500" t="str">
            <v>Отражатель левый</v>
          </cell>
          <cell r="C500" t="str">
            <v>HYUNDAI/KIA</v>
          </cell>
          <cell r="D500">
            <v>1</v>
          </cell>
          <cell r="E500">
            <v>800</v>
          </cell>
          <cell r="G500" t="str">
            <v>автолига.рф</v>
          </cell>
          <cell r="H500">
            <v>1783</v>
          </cell>
          <cell r="I500">
            <v>771</v>
          </cell>
          <cell r="J500">
            <v>759.43499999999995</v>
          </cell>
        </row>
        <row r="501">
          <cell r="A501" t="str">
            <v>92406D3510</v>
          </cell>
          <cell r="B501" t="str">
            <v>Отражатель правый</v>
          </cell>
          <cell r="C501" t="str">
            <v>HYUNDAI/KIA</v>
          </cell>
          <cell r="D501">
            <v>1</v>
          </cell>
          <cell r="E501">
            <v>1250</v>
          </cell>
          <cell r="G501" t="str">
            <v>автолига.рф</v>
          </cell>
          <cell r="H501">
            <v>1783</v>
          </cell>
          <cell r="I501">
            <v>869</v>
          </cell>
          <cell r="J501">
            <v>855.96500000000003</v>
          </cell>
        </row>
        <row r="502">
          <cell r="A502" t="str">
            <v>86641J7000</v>
          </cell>
          <cell r="B502" t="str">
            <v>Кронштейн крепления усилителя левый</v>
          </cell>
          <cell r="C502" t="str">
            <v>HYUNDAI/KIA</v>
          </cell>
          <cell r="D502">
            <v>1</v>
          </cell>
          <cell r="E502">
            <v>1725.72</v>
          </cell>
          <cell r="G502" t="str">
            <v>автолига.рф</v>
          </cell>
          <cell r="H502">
            <v>1776</v>
          </cell>
          <cell r="I502">
            <v>1744</v>
          </cell>
          <cell r="J502">
            <v>1717.84</v>
          </cell>
        </row>
        <row r="503">
          <cell r="A503" t="str">
            <v>86641J7000</v>
          </cell>
          <cell r="B503" t="str">
            <v>Кронштейн крепления усилителя левый</v>
          </cell>
          <cell r="C503" t="str">
            <v>HYUNDAI/KIA</v>
          </cell>
          <cell r="D503">
            <v>1</v>
          </cell>
          <cell r="E503">
            <v>1725.72</v>
          </cell>
          <cell r="G503" t="str">
            <v>автолига.рф</v>
          </cell>
          <cell r="H503">
            <v>1776</v>
          </cell>
          <cell r="I503">
            <v>1744</v>
          </cell>
          <cell r="J503">
            <v>1717.84</v>
          </cell>
        </row>
        <row r="504">
          <cell r="A504" t="str">
            <v>86641J7000</v>
          </cell>
          <cell r="B504" t="str">
            <v>Кронштейн крепления усилителя левый</v>
          </cell>
          <cell r="C504" t="str">
            <v>HYUNDAI/KIA</v>
          </cell>
          <cell r="D504">
            <v>1</v>
          </cell>
          <cell r="E504">
            <v>1725.72</v>
          </cell>
          <cell r="G504" t="str">
            <v>автолига.рф</v>
          </cell>
          <cell r="H504">
            <v>1774</v>
          </cell>
          <cell r="I504">
            <v>1744</v>
          </cell>
          <cell r="J504">
            <v>1717.84</v>
          </cell>
        </row>
        <row r="505">
          <cell r="A505" t="str">
            <v>86613H5000</v>
          </cell>
          <cell r="B505" t="str">
            <v>Кронштейн заднего бампера лев.</v>
          </cell>
          <cell r="C505" t="str">
            <v>HYUNDAI/KIA</v>
          </cell>
          <cell r="D505">
            <v>2</v>
          </cell>
          <cell r="E505">
            <v>850</v>
          </cell>
          <cell r="G505" t="str">
            <v>автолига.рф</v>
          </cell>
          <cell r="H505">
            <v>1765</v>
          </cell>
          <cell r="I505">
            <v>845</v>
          </cell>
          <cell r="J505">
            <v>832.32500000000005</v>
          </cell>
        </row>
        <row r="506">
          <cell r="A506" t="str">
            <v>86614H5000</v>
          </cell>
          <cell r="B506" t="str">
            <v>Кронштейн кузовной крепления бампера</v>
          </cell>
          <cell r="C506" t="str">
            <v>HYUNDAI/KIA</v>
          </cell>
          <cell r="D506">
            <v>2</v>
          </cell>
          <cell r="E506">
            <v>750</v>
          </cell>
          <cell r="G506" t="str">
            <v>автолига.рф</v>
          </cell>
          <cell r="H506">
            <v>1765</v>
          </cell>
          <cell r="I506">
            <v>655</v>
          </cell>
          <cell r="J506">
            <v>645.17499999999995</v>
          </cell>
        </row>
        <row r="507">
          <cell r="A507" t="str">
            <v>9827085980</v>
          </cell>
          <cell r="B507" t="str">
            <v>Кронштейн капота</v>
          </cell>
          <cell r="C507" t="str">
            <v>PEUGEOT/CITROEN</v>
          </cell>
          <cell r="D507">
            <v>1</v>
          </cell>
          <cell r="E507">
            <v>1370</v>
          </cell>
          <cell r="G507" t="str">
            <v>автолига.рф</v>
          </cell>
          <cell r="H507">
            <v>1744</v>
          </cell>
          <cell r="I507">
            <v>1377</v>
          </cell>
          <cell r="J507">
            <v>1356.345</v>
          </cell>
        </row>
        <row r="508">
          <cell r="A508" t="str">
            <v>265659650R</v>
          </cell>
          <cell r="B508" t="str">
            <v>Катафот отражатель левый</v>
          </cell>
          <cell r="C508" t="str">
            <v>LADA</v>
          </cell>
          <cell r="D508">
            <v>1</v>
          </cell>
          <cell r="E508">
            <v>1722</v>
          </cell>
          <cell r="G508" t="str">
            <v>tatparts.ru</v>
          </cell>
          <cell r="H508">
            <v>1722</v>
          </cell>
          <cell r="I508">
            <v>74</v>
          </cell>
          <cell r="J508">
            <v>72.89</v>
          </cell>
        </row>
        <row r="509">
          <cell r="A509" t="str">
            <v>5216960080C0</v>
          </cell>
          <cell r="B509" t="str">
            <v>КРОНШТЕЙН ЗАДНЕГО БАМПЕРА</v>
          </cell>
          <cell r="C509" t="str">
            <v>TOYOTA</v>
          </cell>
          <cell r="D509">
            <v>1</v>
          </cell>
          <cell r="E509">
            <v>948</v>
          </cell>
          <cell r="G509" t="str">
            <v>автолига.рф</v>
          </cell>
          <cell r="H509">
            <v>1711</v>
          </cell>
          <cell r="I509">
            <v>885</v>
          </cell>
          <cell r="J509">
            <v>871.72500000000002</v>
          </cell>
        </row>
        <row r="510">
          <cell r="A510" t="str">
            <v>5216960080C0</v>
          </cell>
          <cell r="B510" t="str">
            <v>КРОНШТЕЙН ЗАДНЕГО БАМПЕРА</v>
          </cell>
          <cell r="C510" t="str">
            <v>TOYOTA</v>
          </cell>
          <cell r="D510">
            <v>1</v>
          </cell>
          <cell r="E510">
            <v>948</v>
          </cell>
          <cell r="G510" t="str">
            <v>автолига.рф</v>
          </cell>
          <cell r="H510">
            <v>1711</v>
          </cell>
          <cell r="I510">
            <v>885</v>
          </cell>
          <cell r="J510">
            <v>871.72500000000002</v>
          </cell>
        </row>
        <row r="511">
          <cell r="A511" t="str">
            <v>86651L2000</v>
          </cell>
          <cell r="B511" t="str">
            <v>Кронштейн бампера заднего левый</v>
          </cell>
          <cell r="C511" t="str">
            <v>HYUNDAI/KIA</v>
          </cell>
          <cell r="D511">
            <v>2</v>
          </cell>
          <cell r="E511">
            <v>1190</v>
          </cell>
          <cell r="G511" t="str">
            <v>автолига.рф</v>
          </cell>
          <cell r="H511">
            <v>1710</v>
          </cell>
          <cell r="I511">
            <v>992</v>
          </cell>
          <cell r="J511">
            <v>977.12</v>
          </cell>
        </row>
        <row r="512">
          <cell r="A512" t="str">
            <v>5256242060</v>
          </cell>
          <cell r="B512" t="str">
            <v>Кронштейн бампера зад. внутренний прав.</v>
          </cell>
          <cell r="C512" t="str">
            <v>TOYOTA</v>
          </cell>
          <cell r="D512">
            <v>1</v>
          </cell>
          <cell r="E512">
            <v>1100</v>
          </cell>
          <cell r="G512" t="str">
            <v>автолига.рф</v>
          </cell>
          <cell r="H512">
            <v>1704</v>
          </cell>
          <cell r="I512">
            <v>1113</v>
          </cell>
          <cell r="J512">
            <v>1096.3050000000001</v>
          </cell>
        </row>
        <row r="513">
          <cell r="A513" t="str">
            <v>5256242060</v>
          </cell>
          <cell r="B513" t="str">
            <v>Кронштейн бампера зад. внутренний прав.</v>
          </cell>
          <cell r="C513" t="str">
            <v>TOYOTA</v>
          </cell>
          <cell r="D513">
            <v>1</v>
          </cell>
          <cell r="E513">
            <v>1100</v>
          </cell>
          <cell r="G513" t="str">
            <v>автолига.рф</v>
          </cell>
          <cell r="H513">
            <v>3391</v>
          </cell>
          <cell r="I513">
            <v>1113</v>
          </cell>
          <cell r="J513">
            <v>1096.3050000000001</v>
          </cell>
        </row>
        <row r="514">
          <cell r="A514" t="str">
            <v>5256242060</v>
          </cell>
          <cell r="B514" t="str">
            <v>Кронштейн бампера зад. внутренний прав.</v>
          </cell>
          <cell r="C514" t="str">
            <v>TOYOTA</v>
          </cell>
          <cell r="D514">
            <v>1</v>
          </cell>
          <cell r="E514">
            <v>1100</v>
          </cell>
          <cell r="G514" t="str">
            <v>автолига.рф</v>
          </cell>
          <cell r="H514">
            <v>3391</v>
          </cell>
          <cell r="I514">
            <v>1113</v>
          </cell>
          <cell r="J514">
            <v>1096.3050000000001</v>
          </cell>
        </row>
        <row r="515">
          <cell r="A515" t="str">
            <v>622225JG0AL080</v>
          </cell>
          <cell r="B515" t="str">
            <v>Кронштейн переднего бампера ПР</v>
          </cell>
          <cell r="C515" t="str">
            <v>DONGFENG</v>
          </cell>
          <cell r="D515">
            <v>1</v>
          </cell>
          <cell r="E515">
            <v>1185</v>
          </cell>
          <cell r="G515" t="str">
            <v>автолига.рф</v>
          </cell>
          <cell r="H515">
            <v>1700</v>
          </cell>
          <cell r="I515">
            <v>1195</v>
          </cell>
          <cell r="J515">
            <v>1177.075</v>
          </cell>
        </row>
        <row r="516">
          <cell r="A516" t="str">
            <v>622235JG0AL080</v>
          </cell>
          <cell r="B516" t="str">
            <v>Кронштейн переднего бампера ЛВ</v>
          </cell>
          <cell r="C516" t="str">
            <v>DONGFENG</v>
          </cell>
          <cell r="D516">
            <v>1</v>
          </cell>
          <cell r="E516">
            <v>1275</v>
          </cell>
          <cell r="G516" t="str">
            <v>автолига.рф</v>
          </cell>
          <cell r="H516">
            <v>1700</v>
          </cell>
          <cell r="I516">
            <v>1280</v>
          </cell>
          <cell r="J516">
            <v>1260.8</v>
          </cell>
        </row>
        <row r="517">
          <cell r="A517" t="str">
            <v>5ER807377</v>
          </cell>
          <cell r="B517" t="str">
            <v xml:space="preserve">Кронштейн подфонарный левый </v>
          </cell>
          <cell r="C517" t="str">
            <v>VAG</v>
          </cell>
          <cell r="D517">
            <v>4</v>
          </cell>
          <cell r="E517">
            <v>460</v>
          </cell>
          <cell r="G517" t="str">
            <v>tatparts.ru</v>
          </cell>
          <cell r="H517">
            <v>1692</v>
          </cell>
          <cell r="I517">
            <v>461</v>
          </cell>
          <cell r="J517">
            <v>454.08499999999998</v>
          </cell>
        </row>
        <row r="518">
          <cell r="A518" t="str">
            <v>83A807095A</v>
          </cell>
          <cell r="B518" t="str">
            <v>Панель замыкающая решетки радиатора левая часть</v>
          </cell>
          <cell r="C518" t="str">
            <v>VAG</v>
          </cell>
          <cell r="D518">
            <v>1</v>
          </cell>
          <cell r="E518">
            <v>1683</v>
          </cell>
          <cell r="G518" t="str">
            <v>автолига.рф</v>
          </cell>
          <cell r="H518">
            <v>1683</v>
          </cell>
          <cell r="I518">
            <v>1460</v>
          </cell>
          <cell r="J518">
            <v>1438.1</v>
          </cell>
        </row>
        <row r="519">
          <cell r="A519" t="str">
            <v>6073068500</v>
          </cell>
          <cell r="B519" t="str">
            <v>Накладка заднего правого крыла</v>
          </cell>
          <cell r="C519" t="str">
            <v>GEELY</v>
          </cell>
          <cell r="D519">
            <v>1</v>
          </cell>
          <cell r="E519">
            <v>1230</v>
          </cell>
          <cell r="G519" t="str">
            <v>автолига.рф</v>
          </cell>
          <cell r="H519">
            <v>1682</v>
          </cell>
          <cell r="I519">
            <v>1246</v>
          </cell>
          <cell r="J519">
            <v>1227.31</v>
          </cell>
        </row>
        <row r="520">
          <cell r="A520" t="str">
            <v>6073068600</v>
          </cell>
          <cell r="B520" t="str">
            <v>Накладка заднего левого крыла</v>
          </cell>
          <cell r="C520" t="str">
            <v>GEELY</v>
          </cell>
          <cell r="D520">
            <v>1</v>
          </cell>
          <cell r="E520">
            <v>1000</v>
          </cell>
          <cell r="G520" t="str">
            <v>автолига.рф</v>
          </cell>
          <cell r="H520">
            <v>1682</v>
          </cell>
          <cell r="I520">
            <v>1010</v>
          </cell>
          <cell r="J520">
            <v>994.85</v>
          </cell>
        </row>
        <row r="521">
          <cell r="A521" t="str">
            <v>83662M0010</v>
          </cell>
          <cell r="B521" t="str">
            <v>Кожух ручки двери</v>
          </cell>
          <cell r="C521" t="str">
            <v>HYUNDAI/KIA</v>
          </cell>
          <cell r="D521">
            <v>1</v>
          </cell>
          <cell r="E521">
            <v>586.07500000000005</v>
          </cell>
          <cell r="G521" t="str">
            <v>автолига.рф</v>
          </cell>
          <cell r="H521">
            <v>1660</v>
          </cell>
          <cell r="I521">
            <v>595</v>
          </cell>
          <cell r="J521">
            <v>586.07500000000005</v>
          </cell>
        </row>
        <row r="522">
          <cell r="A522" t="str">
            <v>TNY06915ZC</v>
          </cell>
          <cell r="B522" t="str">
            <v>РЕМКОМПЛЕКТ СКЛАДЫВАНИЯ ЗЕРКАЛА ПРАВОГО СХ-9 ||</v>
          </cell>
          <cell r="C522" t="str">
            <v>Mazda</v>
          </cell>
          <cell r="D522">
            <v>1</v>
          </cell>
          <cell r="E522">
            <v>1460</v>
          </cell>
          <cell r="G522" t="str">
            <v>автолига.рф</v>
          </cell>
          <cell r="H522">
            <v>1657</v>
          </cell>
          <cell r="I522">
            <v>1476</v>
          </cell>
          <cell r="J522">
            <v>1453.86</v>
          </cell>
        </row>
        <row r="523">
          <cell r="A523" t="str">
            <v>87130H5000</v>
          </cell>
          <cell r="B523" t="str">
            <v>Молдинг заднего стекла</v>
          </cell>
          <cell r="C523" t="str">
            <v>HYUNDAI/KIA</v>
          </cell>
          <cell r="D523">
            <v>2</v>
          </cell>
          <cell r="E523">
            <v>584.10500000000002</v>
          </cell>
          <cell r="G523" t="str">
            <v>автолига.рф</v>
          </cell>
          <cell r="H523">
            <v>1613</v>
          </cell>
          <cell r="I523">
            <v>571</v>
          </cell>
          <cell r="J523">
            <v>562.43499999999995</v>
          </cell>
        </row>
        <row r="524">
          <cell r="A524" t="str">
            <v>87130H5000</v>
          </cell>
          <cell r="B524" t="str">
            <v>Молдинг заднего стекла</v>
          </cell>
          <cell r="C524" t="str">
            <v>HYUNDAI/KIA</v>
          </cell>
          <cell r="D524">
            <v>1</v>
          </cell>
          <cell r="E524">
            <v>584.10500000000002</v>
          </cell>
          <cell r="G524" t="str">
            <v>автолига.рф</v>
          </cell>
          <cell r="H524">
            <v>1613</v>
          </cell>
          <cell r="I524">
            <v>571</v>
          </cell>
          <cell r="J524">
            <v>562.43499999999995</v>
          </cell>
        </row>
        <row r="525">
          <cell r="A525" t="str">
            <v>87130H5000</v>
          </cell>
          <cell r="B525" t="str">
            <v>Молдинг заднего стекла</v>
          </cell>
          <cell r="C525" t="str">
            <v>HYUNDAI/KIA</v>
          </cell>
          <cell r="D525">
            <v>1</v>
          </cell>
          <cell r="E525">
            <v>584.10500000000002</v>
          </cell>
          <cell r="G525" t="str">
            <v>автолига.рф</v>
          </cell>
          <cell r="H525">
            <v>1613</v>
          </cell>
          <cell r="I525">
            <v>571</v>
          </cell>
          <cell r="J525">
            <v>562.43499999999995</v>
          </cell>
        </row>
        <row r="526">
          <cell r="A526" t="str">
            <v>602001424AA</v>
          </cell>
          <cell r="B526" t="str">
            <v>Кронштейн заднего бампера правый</v>
          </cell>
          <cell r="C526" t="str">
            <v>KAIYI</v>
          </cell>
          <cell r="D526">
            <v>1</v>
          </cell>
          <cell r="E526">
            <v>1160</v>
          </cell>
          <cell r="G526" t="str">
            <v>автолига.рф</v>
          </cell>
          <cell r="H526">
            <v>1604</v>
          </cell>
          <cell r="I526">
            <v>1175</v>
          </cell>
          <cell r="J526">
            <v>1157.375</v>
          </cell>
        </row>
        <row r="527">
          <cell r="A527" t="str">
            <v>57A807863</v>
          </cell>
          <cell r="B527" t="str">
            <v>Крепёжная планка</v>
          </cell>
          <cell r="C527" t="str">
            <v>VAG</v>
          </cell>
          <cell r="D527">
            <v>1</v>
          </cell>
          <cell r="E527">
            <v>1380</v>
          </cell>
          <cell r="G527" t="str">
            <v>автолига.рф</v>
          </cell>
          <cell r="H527">
            <v>1604</v>
          </cell>
          <cell r="I527">
            <v>1396</v>
          </cell>
          <cell r="J527">
            <v>1375.06</v>
          </cell>
        </row>
        <row r="528">
          <cell r="A528" t="str">
            <v>BMF1513460R</v>
          </cell>
          <cell r="B528" t="str">
            <v>СТЕКЛО ЗЕРКАЛА ПРАВОЕ С ПОДОГРЕВОМ BODYPARTS</v>
          </cell>
          <cell r="C528" t="str">
            <v>BODYPARTS</v>
          </cell>
          <cell r="D528">
            <v>1</v>
          </cell>
          <cell r="E528">
            <v>705</v>
          </cell>
          <cell r="G528" t="str">
            <v>автолига.рф</v>
          </cell>
          <cell r="H528">
            <v>1582</v>
          </cell>
          <cell r="I528">
            <v>691</v>
          </cell>
          <cell r="J528">
            <v>680.63499999999999</v>
          </cell>
        </row>
        <row r="529">
          <cell r="A529" t="str">
            <v>86697L2300</v>
          </cell>
          <cell r="B529" t="str">
            <v>Заглушка бампера</v>
          </cell>
          <cell r="C529" t="str">
            <v>HYUNDAI/KIA</v>
          </cell>
          <cell r="D529">
            <v>2</v>
          </cell>
          <cell r="E529">
            <v>1200</v>
          </cell>
          <cell r="G529" t="str">
            <v>tatparts.ru</v>
          </cell>
          <cell r="H529">
            <v>1567</v>
          </cell>
          <cell r="I529">
            <v>1072</v>
          </cell>
          <cell r="J529">
            <v>1055.92</v>
          </cell>
        </row>
        <row r="530">
          <cell r="A530" t="str">
            <v>86697L2300</v>
          </cell>
          <cell r="B530" t="str">
            <v>Заглушка бампера</v>
          </cell>
          <cell r="C530" t="str">
            <v>HYUNDAI/KIA</v>
          </cell>
          <cell r="D530">
            <v>1</v>
          </cell>
          <cell r="E530">
            <v>1200</v>
          </cell>
          <cell r="G530" t="str">
            <v>tatparts.ru</v>
          </cell>
          <cell r="H530">
            <v>1567</v>
          </cell>
          <cell r="I530">
            <v>1072</v>
          </cell>
          <cell r="J530">
            <v>1055.92</v>
          </cell>
        </row>
        <row r="531">
          <cell r="A531" t="str">
            <v>6RU853665C9B9</v>
          </cell>
          <cell r="B531" t="str">
            <v xml:space="preserve">Решетка ПТФ </v>
          </cell>
          <cell r="C531" t="str">
            <v>VAG</v>
          </cell>
          <cell r="D531">
            <v>5</v>
          </cell>
          <cell r="E531">
            <v>1040</v>
          </cell>
          <cell r="G531" t="str">
            <v>автолига.рф</v>
          </cell>
          <cell r="H531">
            <v>1536</v>
          </cell>
          <cell r="I531">
            <v>1047</v>
          </cell>
          <cell r="J531">
            <v>1031.2950000000001</v>
          </cell>
        </row>
        <row r="532">
          <cell r="A532" t="str">
            <v>5Q0121367G</v>
          </cell>
          <cell r="B532" t="str">
            <v>Кронштейн радиатора</v>
          </cell>
          <cell r="C532" t="str">
            <v>VAG</v>
          </cell>
          <cell r="D532">
            <v>1</v>
          </cell>
          <cell r="E532">
            <v>100</v>
          </cell>
          <cell r="G532" t="str">
            <v>автолига.рф</v>
          </cell>
          <cell r="H532">
            <v>1535</v>
          </cell>
          <cell r="I532">
            <v>43</v>
          </cell>
          <cell r="J532">
            <v>42.354999999999997</v>
          </cell>
        </row>
        <row r="533">
          <cell r="A533" t="str">
            <v>GRF5515M0A</v>
          </cell>
          <cell r="B533" t="str">
            <v>КАТАФОТ ЗАДНЕГО БАМПЕРА ЛЕВЫЙ</v>
          </cell>
          <cell r="C533" t="str">
            <v>Mazda</v>
          </cell>
          <cell r="D533">
            <v>1</v>
          </cell>
          <cell r="E533">
            <v>1230</v>
          </cell>
          <cell r="G533" t="str">
            <v>автолига.рф</v>
          </cell>
          <cell r="H533">
            <v>1534</v>
          </cell>
          <cell r="I533">
            <v>1247</v>
          </cell>
          <cell r="J533">
            <v>1228.2950000000001</v>
          </cell>
        </row>
        <row r="534">
          <cell r="A534" t="str">
            <v>57A853621  FOD</v>
          </cell>
          <cell r="B534" t="str">
            <v>Эмблема Škoda</v>
          </cell>
          <cell r="C534" t="str">
            <v>VAG</v>
          </cell>
          <cell r="D534">
            <v>1</v>
          </cell>
          <cell r="E534">
            <v>490</v>
          </cell>
          <cell r="G534" t="str">
            <v>tatparts.ru</v>
          </cell>
          <cell r="H534">
            <v>1530</v>
          </cell>
          <cell r="I534">
            <v>488</v>
          </cell>
          <cell r="J534">
            <v>480.68</v>
          </cell>
        </row>
        <row r="535">
          <cell r="A535" t="str">
            <v>64229115858</v>
          </cell>
          <cell r="B535" t="str">
            <v>Вентиляционная решетка П</v>
          </cell>
          <cell r="C535" t="str">
            <v>BMW</v>
          </cell>
          <cell r="D535">
            <v>1</v>
          </cell>
          <cell r="E535">
            <v>1884.55125</v>
          </cell>
          <cell r="G535" t="str">
            <v>tatparts.ru</v>
          </cell>
          <cell r="H535">
            <v>1506</v>
          </cell>
          <cell r="I535">
            <v>779</v>
          </cell>
          <cell r="J535">
            <v>767.31499999999994</v>
          </cell>
        </row>
        <row r="536">
          <cell r="A536" t="str">
            <v>863594L500</v>
          </cell>
          <cell r="B536" t="str">
            <v>Эмблема</v>
          </cell>
          <cell r="C536" t="str">
            <v>HYUNDAI/KIA</v>
          </cell>
          <cell r="D536">
            <v>3</v>
          </cell>
          <cell r="E536">
            <v>1235.3279</v>
          </cell>
          <cell r="G536" t="str">
            <v>tatparts.ru</v>
          </cell>
          <cell r="H536">
            <v>1479</v>
          </cell>
          <cell r="I536">
            <v>844</v>
          </cell>
          <cell r="J536">
            <v>831.34</v>
          </cell>
        </row>
        <row r="537">
          <cell r="A537" t="str">
            <v>863594L500</v>
          </cell>
          <cell r="B537" t="str">
            <v>Эмблема</v>
          </cell>
          <cell r="C537" t="str">
            <v>HYUNDAI/KIA</v>
          </cell>
          <cell r="D537">
            <v>7</v>
          </cell>
          <cell r="E537">
            <v>1235.3279</v>
          </cell>
          <cell r="G537" t="str">
            <v>tatparts.ru</v>
          </cell>
          <cell r="H537">
            <v>1479</v>
          </cell>
          <cell r="I537">
            <v>844</v>
          </cell>
          <cell r="J537">
            <v>831.34</v>
          </cell>
        </row>
        <row r="538">
          <cell r="A538" t="str">
            <v>863594L500</v>
          </cell>
          <cell r="B538" t="str">
            <v>Эмблема</v>
          </cell>
          <cell r="C538" t="str">
            <v>HYUNDAI/KIA</v>
          </cell>
          <cell r="D538">
            <v>6</v>
          </cell>
          <cell r="E538">
            <v>1235.3279</v>
          </cell>
          <cell r="G538" t="str">
            <v>tatparts.ru</v>
          </cell>
          <cell r="H538">
            <v>1479</v>
          </cell>
          <cell r="I538">
            <v>844</v>
          </cell>
          <cell r="J538">
            <v>831.34</v>
          </cell>
        </row>
        <row r="539">
          <cell r="A539" t="str">
            <v>863594L500</v>
          </cell>
          <cell r="B539" t="str">
            <v>Эмблема</v>
          </cell>
          <cell r="C539" t="str">
            <v>HYUNDAI/KIA</v>
          </cell>
          <cell r="D539">
            <v>3</v>
          </cell>
          <cell r="E539">
            <v>1235.3279</v>
          </cell>
          <cell r="G539" t="str">
            <v>tatparts.ru</v>
          </cell>
          <cell r="H539">
            <v>1479</v>
          </cell>
          <cell r="I539">
            <v>844</v>
          </cell>
          <cell r="J539">
            <v>831.34</v>
          </cell>
        </row>
        <row r="540">
          <cell r="A540" t="str">
            <v>863594L500</v>
          </cell>
          <cell r="B540" t="str">
            <v>Эмблема</v>
          </cell>
          <cell r="C540" t="str">
            <v>HYUNDAI/KIA</v>
          </cell>
          <cell r="D540">
            <v>2</v>
          </cell>
          <cell r="E540">
            <v>1235.3279</v>
          </cell>
          <cell r="G540" t="str">
            <v>tatparts.ru</v>
          </cell>
          <cell r="H540">
            <v>1479</v>
          </cell>
          <cell r="I540">
            <v>844</v>
          </cell>
          <cell r="J540">
            <v>831.34</v>
          </cell>
        </row>
        <row r="541">
          <cell r="A541" t="str">
            <v>863594L500</v>
          </cell>
          <cell r="B541" t="str">
            <v>Эмблема</v>
          </cell>
          <cell r="C541" t="str">
            <v>HYUNDAI/KIA</v>
          </cell>
          <cell r="D541">
            <v>4</v>
          </cell>
          <cell r="E541">
            <v>1235.3279</v>
          </cell>
          <cell r="G541" t="str">
            <v>tatparts.ru</v>
          </cell>
          <cell r="H541">
            <v>1479</v>
          </cell>
          <cell r="I541">
            <v>844</v>
          </cell>
          <cell r="J541">
            <v>831.34</v>
          </cell>
        </row>
        <row r="542">
          <cell r="A542" t="str">
            <v>863594L500</v>
          </cell>
          <cell r="B542" t="str">
            <v>Эмблема</v>
          </cell>
          <cell r="C542" t="str">
            <v>HYUNDAI/KIA</v>
          </cell>
          <cell r="D542">
            <v>7</v>
          </cell>
          <cell r="E542">
            <v>1235.3279</v>
          </cell>
          <cell r="G542" t="str">
            <v>tatparts.ru</v>
          </cell>
          <cell r="H542">
            <v>1479</v>
          </cell>
          <cell r="I542">
            <v>844</v>
          </cell>
          <cell r="J542">
            <v>831.34</v>
          </cell>
        </row>
        <row r="543">
          <cell r="A543" t="str">
            <v>863594L500</v>
          </cell>
          <cell r="B543" t="str">
            <v>Эмблема</v>
          </cell>
          <cell r="C543" t="str">
            <v>HYUNDAI/KIA</v>
          </cell>
          <cell r="D543">
            <v>3</v>
          </cell>
          <cell r="E543">
            <v>1235.3279</v>
          </cell>
          <cell r="G543" t="str">
            <v>tatparts.ru</v>
          </cell>
          <cell r="H543">
            <v>1479</v>
          </cell>
          <cell r="I543">
            <v>844</v>
          </cell>
          <cell r="J543">
            <v>831.34</v>
          </cell>
        </row>
        <row r="544">
          <cell r="A544" t="str">
            <v>79380B2000</v>
          </cell>
          <cell r="B544" t="str">
            <v>Ограничитель двери</v>
          </cell>
          <cell r="C544" t="str">
            <v>HYUNDAI/KIA</v>
          </cell>
          <cell r="D544">
            <v>1</v>
          </cell>
          <cell r="E544">
            <v>1480</v>
          </cell>
          <cell r="G544" t="str">
            <v>автолига.рф</v>
          </cell>
          <cell r="H544">
            <v>1476</v>
          </cell>
          <cell r="I544">
            <v>677</v>
          </cell>
          <cell r="J544">
            <v>666.84500000000003</v>
          </cell>
        </row>
        <row r="545">
          <cell r="A545" t="str">
            <v>5NA807393A</v>
          </cell>
          <cell r="B545" t="str">
            <v>Профиль направляющий заднего бампера левый</v>
          </cell>
          <cell r="C545" t="str">
            <v>VAG</v>
          </cell>
          <cell r="D545">
            <v>2</v>
          </cell>
          <cell r="E545">
            <v>1075.6199999999999</v>
          </cell>
          <cell r="G545" t="str">
            <v>tatparts.ru</v>
          </cell>
          <cell r="H545">
            <v>1473</v>
          </cell>
          <cell r="I545">
            <v>338</v>
          </cell>
          <cell r="J545">
            <v>332.93</v>
          </cell>
        </row>
        <row r="546">
          <cell r="A546" t="str">
            <v>84142J7000</v>
          </cell>
          <cell r="B546" t="str">
            <v>Планка упорная крыла правого переднего</v>
          </cell>
          <cell r="C546" t="str">
            <v>HYUNDAI/KIA</v>
          </cell>
          <cell r="D546">
            <v>1</v>
          </cell>
          <cell r="E546">
            <v>1450</v>
          </cell>
          <cell r="G546" t="str">
            <v>автолига.рф</v>
          </cell>
          <cell r="H546">
            <v>1448</v>
          </cell>
          <cell r="I546">
            <v>1204</v>
          </cell>
          <cell r="J546">
            <v>1185.94</v>
          </cell>
        </row>
        <row r="547">
          <cell r="A547" t="str">
            <v>86570H5000</v>
          </cell>
          <cell r="B547" t="str">
            <v>Уплотнитель капота</v>
          </cell>
          <cell r="C547" t="str">
            <v>HYUNDAI/KIA</v>
          </cell>
          <cell r="D547">
            <v>1</v>
          </cell>
          <cell r="E547">
            <v>945</v>
          </cell>
          <cell r="G547" t="str">
            <v>автолига.рф</v>
          </cell>
          <cell r="H547">
            <v>1425</v>
          </cell>
          <cell r="I547">
            <v>905</v>
          </cell>
          <cell r="J547">
            <v>891.42499999999995</v>
          </cell>
        </row>
        <row r="548">
          <cell r="A548" t="str">
            <v>GJR9502J1</v>
          </cell>
          <cell r="B548" t="str">
            <v>КРЕПЛЕНИЕ БАМПЕРА LH</v>
          </cell>
          <cell r="C548" t="str">
            <v>Mazda</v>
          </cell>
          <cell r="D548">
            <v>1</v>
          </cell>
          <cell r="E548">
            <v>915</v>
          </cell>
          <cell r="G548" t="str">
            <v>автолига.рф</v>
          </cell>
          <cell r="H548">
            <v>1425</v>
          </cell>
          <cell r="I548">
            <v>921</v>
          </cell>
          <cell r="J548">
            <v>907.18499999999995</v>
          </cell>
        </row>
        <row r="549">
          <cell r="A549" t="str">
            <v>7576502020</v>
          </cell>
          <cell r="B549" t="str">
            <v>МОЛДИНГ ЗАДНЕЙ ДВЕРИ</v>
          </cell>
          <cell r="C549" t="str">
            <v>TOYOTA</v>
          </cell>
          <cell r="D549">
            <v>1</v>
          </cell>
          <cell r="E549">
            <v>1410</v>
          </cell>
          <cell r="G549" t="str">
            <v>автолига.рф</v>
          </cell>
          <cell r="H549">
            <v>1409</v>
          </cell>
          <cell r="I549">
            <v>128</v>
          </cell>
          <cell r="J549">
            <v>126.08</v>
          </cell>
        </row>
        <row r="550">
          <cell r="A550" t="str">
            <v>57A854969  9B9</v>
          </cell>
          <cell r="B550" t="str">
            <v>Кожух чёрный satinschwarz</v>
          </cell>
          <cell r="C550" t="str">
            <v>VAG</v>
          </cell>
          <cell r="D550">
            <v>3</v>
          </cell>
          <cell r="E550">
            <v>845</v>
          </cell>
          <cell r="G550" t="str">
            <v>автолига.рф</v>
          </cell>
          <cell r="H550">
            <v>1387</v>
          </cell>
          <cell r="I550">
            <v>847</v>
          </cell>
          <cell r="J550">
            <v>834.29499999999996</v>
          </cell>
        </row>
        <row r="551">
          <cell r="A551" t="str">
            <v>57A854969  9B9</v>
          </cell>
          <cell r="B551" t="str">
            <v>Кожух чёрный satinschwarz</v>
          </cell>
          <cell r="C551" t="str">
            <v>VAG</v>
          </cell>
          <cell r="D551">
            <v>1</v>
          </cell>
          <cell r="E551">
            <v>845</v>
          </cell>
          <cell r="G551" t="str">
            <v>автолига.рф</v>
          </cell>
          <cell r="H551">
            <v>1387</v>
          </cell>
          <cell r="I551">
            <v>847</v>
          </cell>
          <cell r="J551">
            <v>834.29499999999996</v>
          </cell>
        </row>
        <row r="552">
          <cell r="A552" t="str">
            <v>57A854970  9B9</v>
          </cell>
          <cell r="B552" t="str">
            <v>Кожух чёрный satinschwarz</v>
          </cell>
          <cell r="C552" t="str">
            <v>VAG</v>
          </cell>
          <cell r="D552">
            <v>3</v>
          </cell>
          <cell r="E552">
            <v>1110</v>
          </cell>
          <cell r="G552" t="str">
            <v>автолига.рф</v>
          </cell>
          <cell r="H552">
            <v>1387</v>
          </cell>
          <cell r="I552">
            <v>1011</v>
          </cell>
          <cell r="J552">
            <v>995.83500000000004</v>
          </cell>
        </row>
        <row r="553">
          <cell r="A553" t="str">
            <v>57A854970  9B9</v>
          </cell>
          <cell r="B553" t="str">
            <v>Кожух чёрный satinschwarz</v>
          </cell>
          <cell r="C553" t="str">
            <v>VAG</v>
          </cell>
          <cell r="D553">
            <v>1</v>
          </cell>
          <cell r="E553">
            <v>1110</v>
          </cell>
          <cell r="G553" t="str">
            <v>автолига.рф</v>
          </cell>
          <cell r="H553">
            <v>1387</v>
          </cell>
          <cell r="I553">
            <v>1011</v>
          </cell>
          <cell r="J553">
            <v>995.83500000000004</v>
          </cell>
        </row>
        <row r="554">
          <cell r="A554" t="str">
            <v>5705A603</v>
          </cell>
          <cell r="B554" t="str">
            <v>РАМКА СТЕКЛА ПЕРЕД.ДВЕРИ,ЗАД.НИЖН.ЛЕВ.</v>
          </cell>
          <cell r="C554" t="str">
            <v>MITSUBISHI</v>
          </cell>
          <cell r="D554">
            <v>1</v>
          </cell>
          <cell r="E554">
            <v>1994.625</v>
          </cell>
          <cell r="G554" t="str">
            <v>tatparts.ru</v>
          </cell>
          <cell r="H554">
            <v>1364</v>
          </cell>
          <cell r="I554">
            <v>373</v>
          </cell>
          <cell r="J554">
            <v>367.40499999999997</v>
          </cell>
        </row>
        <row r="555">
          <cell r="A555" t="str">
            <v>84116L2000</v>
          </cell>
          <cell r="B555" t="str">
            <v>Упорная планка крыла</v>
          </cell>
          <cell r="C555" t="str">
            <v>HYUNDAI/KIA</v>
          </cell>
          <cell r="D555">
            <v>1</v>
          </cell>
          <cell r="E555">
            <v>811.64</v>
          </cell>
          <cell r="G555" t="str">
            <v>автолига.рф</v>
          </cell>
          <cell r="H555">
            <v>1361</v>
          </cell>
          <cell r="I555">
            <v>768</v>
          </cell>
          <cell r="J555">
            <v>756.48</v>
          </cell>
        </row>
        <row r="556">
          <cell r="A556" t="str">
            <v>84116L2000</v>
          </cell>
          <cell r="B556" t="str">
            <v>Упорная планка крыла</v>
          </cell>
          <cell r="C556" t="str">
            <v>HYUNDAI/KIA</v>
          </cell>
          <cell r="D556">
            <v>1</v>
          </cell>
          <cell r="E556">
            <v>890</v>
          </cell>
          <cell r="G556" t="str">
            <v>автолига.рф</v>
          </cell>
          <cell r="H556">
            <v>1361</v>
          </cell>
          <cell r="I556">
            <v>768</v>
          </cell>
          <cell r="J556">
            <v>756.48</v>
          </cell>
        </row>
        <row r="557">
          <cell r="A557" t="str">
            <v>85885H5000TRY</v>
          </cell>
          <cell r="B557" t="str">
            <v>Накладка порога внутр. зад. прав.</v>
          </cell>
          <cell r="C557" t="str">
            <v>HYUNDAI/KIA</v>
          </cell>
          <cell r="D557">
            <v>1</v>
          </cell>
          <cell r="E557">
            <v>786.03</v>
          </cell>
          <cell r="G557" t="str">
            <v>автолига.рф</v>
          </cell>
          <cell r="H557">
            <v>1356</v>
          </cell>
          <cell r="I557">
            <v>793</v>
          </cell>
          <cell r="J557">
            <v>781.10500000000002</v>
          </cell>
        </row>
        <row r="558">
          <cell r="A558" t="str">
            <v>AK5379A046</v>
          </cell>
          <cell r="B558" t="str">
            <v>Пыльник переднего бампера</v>
          </cell>
          <cell r="C558" t="str">
            <v>AKRADO</v>
          </cell>
          <cell r="D558">
            <v>1</v>
          </cell>
          <cell r="E558">
            <v>820</v>
          </cell>
          <cell r="G558" t="str">
            <v>автолига.рф</v>
          </cell>
          <cell r="H558">
            <v>1340</v>
          </cell>
          <cell r="I558">
            <v>816</v>
          </cell>
          <cell r="J558">
            <v>803.76</v>
          </cell>
        </row>
        <row r="559">
          <cell r="A559" t="str">
            <v>219108212322345000</v>
          </cell>
          <cell r="B559" t="str">
            <v>Наклейки на стойки дверей</v>
          </cell>
          <cell r="C559" t="str">
            <v>LADA</v>
          </cell>
          <cell r="D559">
            <v>1</v>
          </cell>
          <cell r="E559">
            <v>1280.5</v>
          </cell>
          <cell r="H559">
            <v>1307</v>
          </cell>
          <cell r="I559">
            <v>1300</v>
          </cell>
          <cell r="J559">
            <v>1280.5</v>
          </cell>
        </row>
        <row r="560">
          <cell r="A560" t="str">
            <v>88531333002</v>
          </cell>
          <cell r="B560" t="str">
            <v>Накладка двери</v>
          </cell>
          <cell r="C560" t="str">
            <v>DIAMOND</v>
          </cell>
          <cell r="D560">
            <v>1</v>
          </cell>
          <cell r="E560">
            <v>750</v>
          </cell>
          <cell r="G560" t="str">
            <v>tatparts.ru</v>
          </cell>
          <cell r="H560">
            <v>1296</v>
          </cell>
          <cell r="I560">
            <v>600</v>
          </cell>
          <cell r="J560">
            <v>591</v>
          </cell>
        </row>
        <row r="561">
          <cell r="A561" t="str">
            <v>5L0853542B9B9</v>
          </cell>
          <cell r="B561" t="str">
            <v>Молдинг двери задней правой</v>
          </cell>
          <cell r="C561" t="str">
            <v>VAG</v>
          </cell>
          <cell r="D561">
            <v>1</v>
          </cell>
          <cell r="E561">
            <v>891.42499999999995</v>
          </cell>
          <cell r="G561" t="str">
            <v>tatparts.ru</v>
          </cell>
          <cell r="H561">
            <v>1277</v>
          </cell>
          <cell r="I561">
            <v>626</v>
          </cell>
          <cell r="J561">
            <v>616.61</v>
          </cell>
        </row>
        <row r="562">
          <cell r="A562" t="str">
            <v>57A854989  9B9</v>
          </cell>
          <cell r="B562" t="str">
            <v>Защитный молдинг крыла чёрный satinschwa</v>
          </cell>
          <cell r="C562" t="str">
            <v>VAG</v>
          </cell>
          <cell r="D562">
            <v>1</v>
          </cell>
          <cell r="E562">
            <v>450</v>
          </cell>
          <cell r="G562" t="str">
            <v>автолига.рф</v>
          </cell>
          <cell r="H562">
            <v>1271</v>
          </cell>
          <cell r="I562">
            <v>375</v>
          </cell>
          <cell r="J562">
            <v>369.375</v>
          </cell>
        </row>
        <row r="563">
          <cell r="A563" t="str">
            <v>57A854989  9B9</v>
          </cell>
          <cell r="B563" t="str">
            <v>Защитный молдинг крыла чёрный satinschwa</v>
          </cell>
          <cell r="C563" t="str">
            <v>VAG</v>
          </cell>
          <cell r="D563">
            <v>3</v>
          </cell>
          <cell r="E563">
            <v>450</v>
          </cell>
          <cell r="G563" t="str">
            <v>автолига.рф</v>
          </cell>
          <cell r="H563">
            <v>1271</v>
          </cell>
          <cell r="I563">
            <v>375</v>
          </cell>
          <cell r="J563">
            <v>369.375</v>
          </cell>
        </row>
        <row r="564">
          <cell r="A564" t="str">
            <v>JH02ACT17018</v>
          </cell>
          <cell r="B564" t="str">
            <v>Абсорбер бампера</v>
          </cell>
          <cell r="C564" t="str">
            <v>Jorden</v>
          </cell>
          <cell r="D564">
            <v>1</v>
          </cell>
          <cell r="E564">
            <v>1220</v>
          </cell>
          <cell r="G564" t="str">
            <v>tatparts.ru</v>
          </cell>
          <cell r="H564">
            <v>1266</v>
          </cell>
          <cell r="I564">
            <v>1236</v>
          </cell>
          <cell r="J564">
            <v>1217.46</v>
          </cell>
        </row>
        <row r="565">
          <cell r="A565" t="str">
            <v>LR069740</v>
          </cell>
          <cell r="B565" t="str">
            <v>Молдинг</v>
          </cell>
          <cell r="C565" t="str">
            <v>LANDROVER</v>
          </cell>
          <cell r="D565">
            <v>1</v>
          </cell>
          <cell r="E565">
            <v>800</v>
          </cell>
          <cell r="G565" t="str">
            <v>автолига.рф</v>
          </cell>
          <cell r="H565">
            <v>1258</v>
          </cell>
          <cell r="I565">
            <v>771</v>
          </cell>
          <cell r="J565">
            <v>759.43499999999995</v>
          </cell>
        </row>
        <row r="566">
          <cell r="A566" t="str">
            <v>5NA919415</v>
          </cell>
          <cell r="B566" t="str">
            <v>Фонарь светодиодный</v>
          </cell>
          <cell r="C566" t="str">
            <v>VAG</v>
          </cell>
          <cell r="D566">
            <v>1</v>
          </cell>
          <cell r="E566">
            <v>1475.4315000000001</v>
          </cell>
          <cell r="G566" t="str">
            <v>tatparts.ru</v>
          </cell>
          <cell r="H566">
            <v>1232</v>
          </cell>
          <cell r="I566">
            <v>1088</v>
          </cell>
          <cell r="J566">
            <v>1071.68</v>
          </cell>
        </row>
        <row r="567">
          <cell r="A567" t="str">
            <v>B015273</v>
          </cell>
          <cell r="B567" t="str">
            <v>Кронштейн переднего бампера ЛВ</v>
          </cell>
          <cell r="C567" t="str">
            <v>DONGFENG</v>
          </cell>
          <cell r="D567">
            <v>1</v>
          </cell>
          <cell r="E567">
            <v>550</v>
          </cell>
          <cell r="G567" t="str">
            <v>tatparts.ru</v>
          </cell>
          <cell r="H567">
            <v>1200</v>
          </cell>
          <cell r="I567">
            <v>503</v>
          </cell>
          <cell r="J567">
            <v>495.45499999999998</v>
          </cell>
        </row>
        <row r="568">
          <cell r="A568" t="str">
            <v>B015274</v>
          </cell>
          <cell r="B568" t="str">
            <v>Кронштейн переднего бампера ПР</v>
          </cell>
          <cell r="C568" t="str">
            <v>DONGFENG</v>
          </cell>
          <cell r="D568">
            <v>1</v>
          </cell>
          <cell r="E568">
            <v>450</v>
          </cell>
          <cell r="G568" t="str">
            <v>автолига.рф</v>
          </cell>
          <cell r="H568">
            <v>1200</v>
          </cell>
          <cell r="I568">
            <v>273</v>
          </cell>
          <cell r="J568">
            <v>268.90499999999997</v>
          </cell>
        </row>
        <row r="569">
          <cell r="A569" t="str">
            <v>86613H0000</v>
          </cell>
          <cell r="B569" t="str">
            <v>Кронштейн заднего бампера левый</v>
          </cell>
          <cell r="C569" t="str">
            <v>HYUNDAI/KIA</v>
          </cell>
          <cell r="D569">
            <v>2</v>
          </cell>
          <cell r="E569">
            <v>1060</v>
          </cell>
          <cell r="G569" t="str">
            <v>tatparts.ru</v>
          </cell>
          <cell r="H569">
            <v>1190</v>
          </cell>
          <cell r="I569">
            <v>1070</v>
          </cell>
          <cell r="J569">
            <v>1053.95</v>
          </cell>
        </row>
        <row r="570">
          <cell r="A570" t="str">
            <v>86613H0000</v>
          </cell>
          <cell r="B570" t="str">
            <v>Кронштейн заднего бампера левый</v>
          </cell>
          <cell r="C570" t="str">
            <v>HYUNDAI/KIA</v>
          </cell>
          <cell r="D570">
            <v>1</v>
          </cell>
          <cell r="E570">
            <v>1060</v>
          </cell>
          <cell r="G570" t="str">
            <v>автолига.рф</v>
          </cell>
          <cell r="H570">
            <v>1190</v>
          </cell>
          <cell r="I570">
            <v>1054</v>
          </cell>
          <cell r="J570">
            <v>1038.19</v>
          </cell>
        </row>
        <row r="571">
          <cell r="A571" t="str">
            <v>86613H0000</v>
          </cell>
          <cell r="B571" t="str">
            <v>Кронштейн заднего бампера левый</v>
          </cell>
          <cell r="C571" t="str">
            <v>HYUNDAI/KIA</v>
          </cell>
          <cell r="D571">
            <v>1</v>
          </cell>
          <cell r="E571">
            <v>1060</v>
          </cell>
          <cell r="G571" t="str">
            <v>автолига.рф</v>
          </cell>
          <cell r="H571">
            <v>1190</v>
          </cell>
          <cell r="I571">
            <v>1054</v>
          </cell>
          <cell r="J571">
            <v>1038.19</v>
          </cell>
        </row>
        <row r="572">
          <cell r="A572" t="str">
            <v>86613H0000</v>
          </cell>
          <cell r="B572" t="str">
            <v>Кронштейн заднего бампера левый</v>
          </cell>
          <cell r="C572" t="str">
            <v>HYUNDAI/KIA</v>
          </cell>
          <cell r="D572">
            <v>1</v>
          </cell>
          <cell r="E572">
            <v>1060</v>
          </cell>
          <cell r="G572" t="str">
            <v>автолига.рф</v>
          </cell>
          <cell r="H572">
            <v>1190</v>
          </cell>
          <cell r="I572">
            <v>1054</v>
          </cell>
          <cell r="J572">
            <v>1038.19</v>
          </cell>
        </row>
        <row r="573">
          <cell r="A573" t="str">
            <v>86613H0000</v>
          </cell>
          <cell r="B573" t="str">
            <v>Кронштейн заднего бампера левый</v>
          </cell>
          <cell r="C573" t="str">
            <v>HYUNDAI/KIA</v>
          </cell>
          <cell r="D573">
            <v>5</v>
          </cell>
          <cell r="E573">
            <v>1060</v>
          </cell>
          <cell r="G573" t="str">
            <v>автолига.рф</v>
          </cell>
          <cell r="H573">
            <v>1190</v>
          </cell>
          <cell r="I573">
            <v>1054</v>
          </cell>
          <cell r="J573">
            <v>1038.19</v>
          </cell>
        </row>
        <row r="574">
          <cell r="A574" t="str">
            <v>565807394D</v>
          </cell>
          <cell r="B574" t="str">
            <v>Профиль направляющий</v>
          </cell>
          <cell r="C574" t="str">
            <v>VAG</v>
          </cell>
          <cell r="D574">
            <v>1</v>
          </cell>
          <cell r="E574">
            <v>370</v>
          </cell>
          <cell r="G574" t="str">
            <v>автолига.рф</v>
          </cell>
          <cell r="H574">
            <v>1186</v>
          </cell>
          <cell r="I574">
            <v>362</v>
          </cell>
          <cell r="J574">
            <v>356.57</v>
          </cell>
        </row>
        <row r="575">
          <cell r="A575" t="str">
            <v>72714JY01A</v>
          </cell>
          <cell r="B575" t="str">
            <v>Держатель лобового стекла</v>
          </cell>
          <cell r="C575" t="str">
            <v>RENAULT</v>
          </cell>
          <cell r="D575">
            <v>2</v>
          </cell>
          <cell r="E575">
            <v>300</v>
          </cell>
          <cell r="G575" t="str">
            <v>автолига.рф</v>
          </cell>
          <cell r="H575">
            <v>1178</v>
          </cell>
          <cell r="I575">
            <v>275</v>
          </cell>
          <cell r="J575">
            <v>270.875</v>
          </cell>
        </row>
        <row r="576">
          <cell r="A576" t="str">
            <v>602001981AA</v>
          </cell>
          <cell r="B576" t="str">
            <v xml:space="preserve">РЕШЁТКА БАМПЕРА ПОД ДХО ЛЕВАЯ T1D </v>
          </cell>
          <cell r="C576" t="str">
            <v>CHERY</v>
          </cell>
          <cell r="D576">
            <v>1</v>
          </cell>
          <cell r="E576">
            <v>800</v>
          </cell>
          <cell r="G576" t="str">
            <v>автолига.рф</v>
          </cell>
          <cell r="H576">
            <v>1175</v>
          </cell>
          <cell r="I576">
            <v>809</v>
          </cell>
          <cell r="J576">
            <v>796.86500000000001</v>
          </cell>
        </row>
        <row r="577">
          <cell r="A577" t="str">
            <v>1K5867427K 1BS</v>
          </cell>
          <cell r="B577" t="str">
            <v>Обивка багажного отсека</v>
          </cell>
          <cell r="C577" t="str">
            <v>VAG</v>
          </cell>
          <cell r="D577">
            <v>1</v>
          </cell>
          <cell r="E577">
            <v>1401.4481499999999</v>
          </cell>
          <cell r="G577" t="str">
            <v>tatparts.ru</v>
          </cell>
          <cell r="H577">
            <v>1170</v>
          </cell>
          <cell r="I577">
            <v>453</v>
          </cell>
          <cell r="J577">
            <v>446.20499999999998</v>
          </cell>
        </row>
        <row r="578">
          <cell r="A578" t="str">
            <v>1K5867427K 1BS</v>
          </cell>
          <cell r="B578" t="str">
            <v>Обивка багажного отсека</v>
          </cell>
          <cell r="C578" t="str">
            <v>VAG</v>
          </cell>
          <cell r="D578">
            <v>1</v>
          </cell>
          <cell r="E578">
            <v>1401.4481499999999</v>
          </cell>
          <cell r="G578" t="str">
            <v>tatparts.ru</v>
          </cell>
          <cell r="H578">
            <v>1170</v>
          </cell>
          <cell r="I578">
            <v>453</v>
          </cell>
          <cell r="J578">
            <v>446.20499999999998</v>
          </cell>
        </row>
        <row r="579">
          <cell r="A579" t="str">
            <v>6306100XKR02A</v>
          </cell>
          <cell r="B579" t="str">
            <v>Петля двери багажника</v>
          </cell>
          <cell r="C579" t="str">
            <v>HAVAL</v>
          </cell>
          <cell r="D579">
            <v>2</v>
          </cell>
          <cell r="E579">
            <v>792.92499999999995</v>
          </cell>
          <cell r="G579" t="str">
            <v>автолига.рф</v>
          </cell>
          <cell r="H579">
            <v>1153</v>
          </cell>
          <cell r="I579">
            <v>716</v>
          </cell>
          <cell r="J579">
            <v>705.26</v>
          </cell>
        </row>
        <row r="580">
          <cell r="A580" t="str">
            <v>GS2A505A1BPR</v>
          </cell>
          <cell r="B580" t="str">
            <v>ЗАГЛУШКА ЗАДНЕГО БАМПЕРА</v>
          </cell>
          <cell r="C580" t="str">
            <v>Mazda</v>
          </cell>
          <cell r="D580">
            <v>1</v>
          </cell>
          <cell r="E580">
            <v>550</v>
          </cell>
          <cell r="G580" t="str">
            <v>автолига.рф</v>
          </cell>
          <cell r="H580">
            <v>1050</v>
          </cell>
          <cell r="I580">
            <v>471</v>
          </cell>
          <cell r="J580">
            <v>463.935</v>
          </cell>
        </row>
        <row r="581">
          <cell r="A581" t="str">
            <v>8200848949</v>
          </cell>
          <cell r="B581" t="str">
            <v>Подкрылок задний левый</v>
          </cell>
          <cell r="C581" t="str">
            <v>RENAULT</v>
          </cell>
          <cell r="D581">
            <v>1</v>
          </cell>
          <cell r="E581">
            <v>759.43499999999995</v>
          </cell>
          <cell r="G581" t="str">
            <v>tatparts.ru</v>
          </cell>
          <cell r="H581">
            <v>1039</v>
          </cell>
          <cell r="I581">
            <v>771</v>
          </cell>
          <cell r="J581">
            <v>759.43499999999995</v>
          </cell>
        </row>
        <row r="582">
          <cell r="A582" t="str">
            <v>5658671989B9</v>
          </cell>
          <cell r="B582" t="str">
            <v>Накладка поручня чёрный satinschwarz</v>
          </cell>
          <cell r="C582" t="str">
            <v>VAG</v>
          </cell>
          <cell r="D582">
            <v>1</v>
          </cell>
          <cell r="E582">
            <v>210</v>
          </cell>
          <cell r="G582" t="str">
            <v>tatparts.ru</v>
          </cell>
          <cell r="H582">
            <v>1038</v>
          </cell>
          <cell r="I582">
            <v>131</v>
          </cell>
          <cell r="J582">
            <v>129.035</v>
          </cell>
        </row>
        <row r="583">
          <cell r="A583" t="str">
            <v>5ER807183</v>
          </cell>
          <cell r="B583" t="str">
            <v>Профиль направляющий</v>
          </cell>
          <cell r="C583" t="str">
            <v>VAG</v>
          </cell>
          <cell r="D583">
            <v>5</v>
          </cell>
          <cell r="E583">
            <v>250</v>
          </cell>
          <cell r="G583" t="str">
            <v>tatparts.ru</v>
          </cell>
          <cell r="H583">
            <v>995</v>
          </cell>
          <cell r="I583">
            <v>246</v>
          </cell>
          <cell r="J583">
            <v>242.31</v>
          </cell>
        </row>
        <row r="584">
          <cell r="A584" t="str">
            <v>5ER807184</v>
          </cell>
          <cell r="B584" t="str">
            <v>Профиль направляющий правый</v>
          </cell>
          <cell r="C584" t="str">
            <v>VAG</v>
          </cell>
          <cell r="D584">
            <v>3</v>
          </cell>
          <cell r="E584">
            <v>350</v>
          </cell>
          <cell r="G584" t="str">
            <v>автолига.рф</v>
          </cell>
          <cell r="H584">
            <v>995</v>
          </cell>
          <cell r="I584">
            <v>309</v>
          </cell>
          <cell r="J584">
            <v>304.36500000000001</v>
          </cell>
        </row>
        <row r="585">
          <cell r="A585" t="str">
            <v>5ER807183</v>
          </cell>
          <cell r="B585" t="str">
            <v>Профиль направляющий</v>
          </cell>
          <cell r="C585" t="str">
            <v>VAG</v>
          </cell>
          <cell r="D585">
            <v>1</v>
          </cell>
          <cell r="E585">
            <v>250</v>
          </cell>
          <cell r="G585" t="str">
            <v>tatparts.ru</v>
          </cell>
          <cell r="H585">
            <v>1192</v>
          </cell>
          <cell r="I585">
            <v>246</v>
          </cell>
          <cell r="J585">
            <v>242.31</v>
          </cell>
        </row>
        <row r="586">
          <cell r="A586" t="str">
            <v>5900A684</v>
          </cell>
          <cell r="B586" t="str">
            <v>Ремкомплект замка капота</v>
          </cell>
          <cell r="C586" t="str">
            <v>MITSUBISHI</v>
          </cell>
          <cell r="D586">
            <v>1</v>
          </cell>
          <cell r="E586">
            <v>100</v>
          </cell>
          <cell r="G586" t="str">
            <v>tatparts.ru</v>
          </cell>
          <cell r="H586">
            <v>962</v>
          </cell>
          <cell r="I586">
            <v>7</v>
          </cell>
          <cell r="J586">
            <v>6.8949999999999996</v>
          </cell>
        </row>
        <row r="587">
          <cell r="A587" t="str">
            <v>5900A684</v>
          </cell>
          <cell r="B587" t="str">
            <v>Ремкомплект замка капота</v>
          </cell>
          <cell r="C587" t="str">
            <v>MITSUBISHI</v>
          </cell>
          <cell r="D587">
            <v>1</v>
          </cell>
          <cell r="E587">
            <v>100</v>
          </cell>
          <cell r="G587" t="str">
            <v>tatparts.ru</v>
          </cell>
          <cell r="H587">
            <v>962</v>
          </cell>
          <cell r="I587">
            <v>7</v>
          </cell>
          <cell r="J587">
            <v>6.8949999999999996</v>
          </cell>
        </row>
        <row r="588">
          <cell r="A588" t="str">
            <v>5900A684</v>
          </cell>
          <cell r="B588" t="str">
            <v>Ремкомплект замка капота</v>
          </cell>
          <cell r="C588" t="str">
            <v>MITSUBISHI</v>
          </cell>
          <cell r="D588">
            <v>1</v>
          </cell>
          <cell r="E588">
            <v>100</v>
          </cell>
          <cell r="G588" t="str">
            <v>tatparts.ru</v>
          </cell>
          <cell r="H588">
            <v>962</v>
          </cell>
          <cell r="I588">
            <v>7</v>
          </cell>
          <cell r="J588">
            <v>6.8949999999999996</v>
          </cell>
        </row>
        <row r="589">
          <cell r="A589" t="str">
            <v>95534754300</v>
          </cell>
          <cell r="B589" t="str">
            <v>Кольцо уплотнительное</v>
          </cell>
          <cell r="C589" t="str">
            <v>PORSCHE</v>
          </cell>
          <cell r="D589">
            <v>1</v>
          </cell>
          <cell r="E589">
            <v>675.71</v>
          </cell>
          <cell r="G589" t="str">
            <v>автолига.рф</v>
          </cell>
          <cell r="H589">
            <v>958</v>
          </cell>
          <cell r="I589">
            <v>686</v>
          </cell>
          <cell r="J589">
            <v>675.71</v>
          </cell>
        </row>
        <row r="590">
          <cell r="A590" t="str">
            <v>86617M0000</v>
          </cell>
          <cell r="B590" t="str">
            <v>Кронштейн крепления бампера заднего лев.</v>
          </cell>
          <cell r="C590" t="str">
            <v>HYUNDAI/KIA</v>
          </cell>
          <cell r="D590">
            <v>1</v>
          </cell>
          <cell r="E590">
            <v>675</v>
          </cell>
          <cell r="G590" t="str">
            <v>автолига.рф</v>
          </cell>
          <cell r="H590">
            <v>949</v>
          </cell>
          <cell r="I590">
            <v>677</v>
          </cell>
          <cell r="J590">
            <v>666.84500000000003</v>
          </cell>
        </row>
        <row r="591">
          <cell r="A591" t="str">
            <v>86617M0000</v>
          </cell>
          <cell r="B591" t="str">
            <v>Кронштейн крепления бампера заднего лев.</v>
          </cell>
          <cell r="C591" t="str">
            <v>HYUNDAI/KIA</v>
          </cell>
          <cell r="D591">
            <v>1</v>
          </cell>
          <cell r="E591">
            <v>675</v>
          </cell>
          <cell r="G591" t="str">
            <v>автолига.рф</v>
          </cell>
          <cell r="H591">
            <v>959</v>
          </cell>
          <cell r="I591">
            <v>677</v>
          </cell>
          <cell r="J591">
            <v>666.84500000000003</v>
          </cell>
        </row>
        <row r="592">
          <cell r="A592" t="str">
            <v>13258165</v>
          </cell>
          <cell r="B592" t="str">
            <v>Петля двери задка л/с</v>
          </cell>
          <cell r="C592" t="str">
            <v>GENERAL MOTORS</v>
          </cell>
          <cell r="D592">
            <v>1</v>
          </cell>
          <cell r="E592">
            <v>1384.0333499999999</v>
          </cell>
          <cell r="G592" t="str">
            <v>tatparts.ru</v>
          </cell>
          <cell r="H592">
            <v>921</v>
          </cell>
          <cell r="I592">
            <v>154</v>
          </cell>
          <cell r="J592">
            <v>151.69</v>
          </cell>
        </row>
        <row r="593">
          <cell r="A593" t="str">
            <v>7682560250</v>
          </cell>
          <cell r="B593" t="str">
            <v>НАКЛАДКА</v>
          </cell>
          <cell r="C593" t="str">
            <v>TOYOTA</v>
          </cell>
          <cell r="D593">
            <v>1</v>
          </cell>
          <cell r="E593">
            <v>726.93</v>
          </cell>
          <cell r="G593" t="str">
            <v>tatparts.ru</v>
          </cell>
          <cell r="H593">
            <v>917</v>
          </cell>
          <cell r="I593">
            <v>640</v>
          </cell>
          <cell r="J593">
            <v>630.4</v>
          </cell>
        </row>
        <row r="594">
          <cell r="A594" t="str">
            <v>92406C1500</v>
          </cell>
          <cell r="B594" t="str">
            <v>Светоотражатель задн. прав.</v>
          </cell>
          <cell r="C594" t="str">
            <v>HYUNDAI/KIA</v>
          </cell>
          <cell r="D594">
            <v>1</v>
          </cell>
          <cell r="E594">
            <v>500</v>
          </cell>
          <cell r="G594" t="str">
            <v>автолига.рф</v>
          </cell>
          <cell r="H594">
            <v>911</v>
          </cell>
          <cell r="I594">
            <v>177</v>
          </cell>
          <cell r="J594">
            <v>174.345</v>
          </cell>
        </row>
        <row r="595">
          <cell r="A595" t="str">
            <v>602002167AARU</v>
          </cell>
          <cell r="B595" t="str">
            <v>НАКЛАДКА ПЕРЕДНЕГО БАМПЕРА ПРАВАЯ T19C</v>
          </cell>
          <cell r="C595" t="str">
            <v>CHERY</v>
          </cell>
          <cell r="D595">
            <v>2</v>
          </cell>
          <cell r="E595">
            <v>500</v>
          </cell>
          <cell r="G595" t="str">
            <v>автолига.рф</v>
          </cell>
          <cell r="H595">
            <v>887</v>
          </cell>
          <cell r="I595">
            <v>171</v>
          </cell>
          <cell r="J595">
            <v>168.435</v>
          </cell>
        </row>
        <row r="596">
          <cell r="A596" t="str">
            <v>602002167AARU</v>
          </cell>
          <cell r="B596" t="str">
            <v>НАКЛАДКА ПЕРЕДНЕГО БАМПЕРА ПРАВАЯ T19C</v>
          </cell>
          <cell r="C596" t="str">
            <v>CHERY</v>
          </cell>
          <cell r="D596">
            <v>1</v>
          </cell>
          <cell r="E596">
            <v>500</v>
          </cell>
          <cell r="G596" t="str">
            <v>автолига.рф</v>
          </cell>
          <cell r="H596">
            <v>879</v>
          </cell>
          <cell r="I596">
            <v>171</v>
          </cell>
          <cell r="J596">
            <v>168.435</v>
          </cell>
        </row>
        <row r="597">
          <cell r="A597" t="str">
            <v>87539J7001</v>
          </cell>
          <cell r="B597" t="str">
            <v>Пленка защитная двери антигравийная</v>
          </cell>
          <cell r="C597" t="str">
            <v>HYUNDAI/KIA</v>
          </cell>
          <cell r="D597">
            <v>1</v>
          </cell>
          <cell r="E597">
            <v>300</v>
          </cell>
          <cell r="G597" t="str">
            <v>автолига.рф</v>
          </cell>
          <cell r="H597">
            <v>882</v>
          </cell>
          <cell r="I597">
            <v>247</v>
          </cell>
          <cell r="J597">
            <v>243.29499999999999</v>
          </cell>
        </row>
        <row r="598">
          <cell r="A598" t="str">
            <v>602002166AARU</v>
          </cell>
          <cell r="B598" t="str">
            <v>НАКЛАДКА ПЕРЕДНЕГО БАМПЕРА ЛЕВАЯ T19C</v>
          </cell>
          <cell r="C598" t="str">
            <v>CHERY</v>
          </cell>
          <cell r="D598">
            <v>1</v>
          </cell>
          <cell r="E598">
            <v>425</v>
          </cell>
          <cell r="G598" t="str">
            <v>tatparts.ru</v>
          </cell>
          <cell r="H598">
            <v>879</v>
          </cell>
          <cell r="I598">
            <v>415</v>
          </cell>
          <cell r="J598">
            <v>408.77499999999998</v>
          </cell>
        </row>
        <row r="599">
          <cell r="A599" t="str">
            <v>602002166AARU</v>
          </cell>
          <cell r="B599" t="str">
            <v>НАКЛАДКА ПЕРЕДНЕГО БАМПЕРА ЛЕВАЯ T19C</v>
          </cell>
          <cell r="C599" t="str">
            <v>CHERY</v>
          </cell>
          <cell r="D599">
            <v>2</v>
          </cell>
          <cell r="E599">
            <v>425</v>
          </cell>
          <cell r="G599" t="str">
            <v>автолига.рф</v>
          </cell>
          <cell r="H599">
            <v>887</v>
          </cell>
          <cell r="I599">
            <v>411</v>
          </cell>
          <cell r="J599">
            <v>404.83499999999998</v>
          </cell>
        </row>
        <row r="600">
          <cell r="A600" t="str">
            <v>KB7W54290</v>
          </cell>
          <cell r="B600" t="str">
            <v>КРОНШТЕЙН КРЫЛА</v>
          </cell>
          <cell r="C600" t="str">
            <v>Mazda</v>
          </cell>
          <cell r="D600">
            <v>1</v>
          </cell>
          <cell r="E600">
            <v>630</v>
          </cell>
          <cell r="G600" t="str">
            <v>автолига.рф</v>
          </cell>
          <cell r="H600">
            <v>872</v>
          </cell>
          <cell r="I600">
            <v>635</v>
          </cell>
          <cell r="J600">
            <v>625.47500000000002</v>
          </cell>
        </row>
        <row r="601">
          <cell r="A601" t="str">
            <v>6RU809612A</v>
          </cell>
          <cell r="B601" t="str">
            <v>Усилитель стойки</v>
          </cell>
          <cell r="C601" t="str">
            <v>VAG</v>
          </cell>
          <cell r="D601">
            <v>1</v>
          </cell>
          <cell r="E601">
            <v>265</v>
          </cell>
          <cell r="G601" t="str">
            <v>автолига.рф</v>
          </cell>
          <cell r="H601">
            <v>851</v>
          </cell>
          <cell r="I601">
            <v>264</v>
          </cell>
          <cell r="J601">
            <v>260.04000000000002</v>
          </cell>
        </row>
        <row r="602">
          <cell r="A602" t="str">
            <v>86661J7000</v>
          </cell>
          <cell r="B602" t="str">
            <v>Накладка светоотражателя левая</v>
          </cell>
          <cell r="C602" t="str">
            <v>HYUNDAI/KIA</v>
          </cell>
          <cell r="D602">
            <v>1</v>
          </cell>
          <cell r="E602">
            <v>820.505</v>
          </cell>
          <cell r="G602" t="str">
            <v>автолига.рф</v>
          </cell>
          <cell r="H602">
            <v>843</v>
          </cell>
          <cell r="I602">
            <v>829</v>
          </cell>
          <cell r="J602">
            <v>816.56499999999994</v>
          </cell>
        </row>
        <row r="603">
          <cell r="A603" t="str">
            <v>86661J7000</v>
          </cell>
          <cell r="B603" t="str">
            <v>Накладка светоотражателя левая</v>
          </cell>
          <cell r="C603" t="str">
            <v>HYUNDAI/KIA</v>
          </cell>
          <cell r="D603">
            <v>1</v>
          </cell>
          <cell r="E603">
            <v>820.505</v>
          </cell>
          <cell r="G603" t="str">
            <v>автолига.рф</v>
          </cell>
          <cell r="H603">
            <v>843</v>
          </cell>
          <cell r="I603">
            <v>829</v>
          </cell>
          <cell r="J603">
            <v>816.56499999999994</v>
          </cell>
        </row>
        <row r="604">
          <cell r="A604" t="str">
            <v>86310L2000</v>
          </cell>
          <cell r="B604" t="str">
            <v>Эмблема K5</v>
          </cell>
          <cell r="C604" t="str">
            <v>HYUNDAI/KIA</v>
          </cell>
          <cell r="D604">
            <v>1</v>
          </cell>
          <cell r="E604">
            <v>840</v>
          </cell>
          <cell r="G604" t="str">
            <v>tatparts.ru</v>
          </cell>
          <cell r="H604">
            <v>812</v>
          </cell>
          <cell r="I604">
            <v>799</v>
          </cell>
          <cell r="J604">
            <v>787.01499999999999</v>
          </cell>
        </row>
        <row r="605">
          <cell r="A605" t="str">
            <v>95491921</v>
          </cell>
          <cell r="B605" t="str">
            <v>Уплотнитель стекла двери</v>
          </cell>
          <cell r="C605" t="str">
            <v>GENERAL MOTORS</v>
          </cell>
          <cell r="D605">
            <v>1</v>
          </cell>
          <cell r="E605">
            <v>400</v>
          </cell>
          <cell r="G605" t="str">
            <v>автолига.рф</v>
          </cell>
          <cell r="H605">
            <v>790</v>
          </cell>
          <cell r="I605">
            <v>397</v>
          </cell>
          <cell r="J605">
            <v>391.04500000000002</v>
          </cell>
        </row>
        <row r="606">
          <cell r="A606" t="str">
            <v>863204H000</v>
          </cell>
          <cell r="B606" t="str">
            <v>Эмблема</v>
          </cell>
          <cell r="C606" t="str">
            <v>HYUNDAI/KIA</v>
          </cell>
          <cell r="D606">
            <v>1</v>
          </cell>
          <cell r="E606">
            <v>671.77</v>
          </cell>
          <cell r="G606" t="str">
            <v>tatparts.ru</v>
          </cell>
          <cell r="H606">
            <v>742</v>
          </cell>
          <cell r="I606">
            <v>358</v>
          </cell>
          <cell r="J606">
            <v>352.63</v>
          </cell>
        </row>
        <row r="607">
          <cell r="A607" t="str">
            <v>86514H0000</v>
          </cell>
          <cell r="B607" t="str">
            <v>Кронштейн бампера передний правый</v>
          </cell>
          <cell r="C607" t="str">
            <v>HYUNDAI/KIA</v>
          </cell>
          <cell r="D607">
            <v>1</v>
          </cell>
          <cell r="E607">
            <v>580.16499999999996</v>
          </cell>
          <cell r="G607" t="str">
            <v>tatparts.ru</v>
          </cell>
          <cell r="H607">
            <v>732</v>
          </cell>
          <cell r="I607">
            <v>312</v>
          </cell>
          <cell r="J607">
            <v>307.32</v>
          </cell>
        </row>
        <row r="608">
          <cell r="A608" t="str">
            <v>86514H0000</v>
          </cell>
          <cell r="B608" t="str">
            <v>Кронштейн бампера передний правый</v>
          </cell>
          <cell r="C608" t="str">
            <v>HYUNDAI/KIA</v>
          </cell>
          <cell r="D608">
            <v>2</v>
          </cell>
          <cell r="E608">
            <v>580.16499999999996</v>
          </cell>
          <cell r="G608" t="str">
            <v>tatparts.ru</v>
          </cell>
          <cell r="H608">
            <v>732</v>
          </cell>
          <cell r="I608">
            <v>312</v>
          </cell>
          <cell r="J608">
            <v>307.32</v>
          </cell>
        </row>
        <row r="609">
          <cell r="A609" t="str">
            <v>86514H0000</v>
          </cell>
          <cell r="B609" t="str">
            <v>Кронштейн бампера передний правый</v>
          </cell>
          <cell r="C609" t="str">
            <v>HYUNDAI/KIA</v>
          </cell>
          <cell r="D609">
            <v>1</v>
          </cell>
          <cell r="E609">
            <v>580.16499999999996</v>
          </cell>
          <cell r="G609" t="str">
            <v>tatparts.ru</v>
          </cell>
          <cell r="H609">
            <v>732</v>
          </cell>
          <cell r="I609">
            <v>312</v>
          </cell>
          <cell r="J609">
            <v>307.32</v>
          </cell>
        </row>
        <row r="610">
          <cell r="A610" t="str">
            <v>86556J7000</v>
          </cell>
          <cell r="B610" t="str">
            <v>Кронштейн рамки радиатора</v>
          </cell>
          <cell r="C610" t="str">
            <v>HYUNDAI/KIA</v>
          </cell>
          <cell r="D610">
            <v>1</v>
          </cell>
          <cell r="E610">
            <v>635</v>
          </cell>
          <cell r="G610" t="str">
            <v>автолига.рф</v>
          </cell>
          <cell r="H610">
            <v>708</v>
          </cell>
          <cell r="I610">
            <v>641</v>
          </cell>
          <cell r="J610">
            <v>631.38499999999999</v>
          </cell>
        </row>
        <row r="611">
          <cell r="A611" t="str">
            <v>86556J7000</v>
          </cell>
          <cell r="B611" t="str">
            <v>Кронштейн рамки радиатора</v>
          </cell>
          <cell r="C611" t="str">
            <v>HYUNDAI/KIA</v>
          </cell>
          <cell r="D611">
            <v>1</v>
          </cell>
          <cell r="E611">
            <v>635</v>
          </cell>
          <cell r="G611" t="str">
            <v>автолига.рф</v>
          </cell>
          <cell r="H611">
            <v>708</v>
          </cell>
          <cell r="I611">
            <v>641</v>
          </cell>
          <cell r="J611">
            <v>631.38499999999999</v>
          </cell>
        </row>
        <row r="612">
          <cell r="A612" t="str">
            <v>86556J7000</v>
          </cell>
          <cell r="B612" t="str">
            <v>Кронштейн рамки радиатора</v>
          </cell>
          <cell r="C612" t="str">
            <v>HYUNDAI/KIA</v>
          </cell>
          <cell r="D612">
            <v>1</v>
          </cell>
          <cell r="E612">
            <v>635</v>
          </cell>
          <cell r="G612" t="str">
            <v>автолига.рф</v>
          </cell>
          <cell r="H612">
            <v>708</v>
          </cell>
          <cell r="I612">
            <v>641</v>
          </cell>
          <cell r="J612">
            <v>631.38499999999999</v>
          </cell>
        </row>
        <row r="613">
          <cell r="A613" t="str">
            <v>861303V000</v>
          </cell>
          <cell r="B613" t="str">
            <v>Уплотнитель лобового стекла</v>
          </cell>
          <cell r="C613" t="str">
            <v>HYUNDAI/KIA</v>
          </cell>
          <cell r="D613">
            <v>1</v>
          </cell>
          <cell r="E613">
            <v>480</v>
          </cell>
          <cell r="G613" t="str">
            <v>автолига.рф</v>
          </cell>
          <cell r="H613">
            <v>697</v>
          </cell>
          <cell r="I613">
            <v>462</v>
          </cell>
          <cell r="J613">
            <v>455.07</v>
          </cell>
        </row>
        <row r="614">
          <cell r="A614" t="str">
            <v>86842H0000</v>
          </cell>
          <cell r="B614" t="str">
            <v>Брызговик задний правый</v>
          </cell>
          <cell r="C614" t="str">
            <v>HYUNDAI/KIA</v>
          </cell>
          <cell r="D614">
            <v>1</v>
          </cell>
          <cell r="E614">
            <v>655</v>
          </cell>
          <cell r="G614" t="str">
            <v>автолига.рф</v>
          </cell>
          <cell r="H614">
            <v>689</v>
          </cell>
          <cell r="I614">
            <v>660</v>
          </cell>
          <cell r="J614">
            <v>650.1</v>
          </cell>
        </row>
        <row r="615">
          <cell r="A615" t="str">
            <v>926013M000</v>
          </cell>
          <cell r="B615" t="str">
            <v>Фонарь подсветки</v>
          </cell>
          <cell r="C615" t="str">
            <v>HYUNDAI/KIA</v>
          </cell>
          <cell r="D615">
            <v>3</v>
          </cell>
          <cell r="E615">
            <v>500</v>
          </cell>
          <cell r="G615" t="str">
            <v>tatparts.ru</v>
          </cell>
          <cell r="H615">
            <v>685</v>
          </cell>
          <cell r="I615">
            <v>104</v>
          </cell>
          <cell r="J615">
            <v>102.44</v>
          </cell>
        </row>
        <row r="616">
          <cell r="A616" t="str">
            <v>926013M000</v>
          </cell>
          <cell r="B616" t="str">
            <v>Фонарь подсветки</v>
          </cell>
          <cell r="C616" t="str">
            <v>HYUNDAI/KIA</v>
          </cell>
          <cell r="D616">
            <v>2</v>
          </cell>
          <cell r="E616">
            <v>500</v>
          </cell>
          <cell r="G616" t="str">
            <v>tatparts.ru</v>
          </cell>
          <cell r="H616">
            <v>685</v>
          </cell>
          <cell r="I616">
            <v>104</v>
          </cell>
          <cell r="J616">
            <v>102.44</v>
          </cell>
        </row>
        <row r="617">
          <cell r="A617" t="str">
            <v>92620A2000</v>
          </cell>
          <cell r="B617" t="str">
            <v>Плафон подсветки номера</v>
          </cell>
          <cell r="C617" t="str">
            <v>HYUNDAI/KIA</v>
          </cell>
          <cell r="D617">
            <v>1</v>
          </cell>
          <cell r="E617">
            <v>315</v>
          </cell>
          <cell r="G617" t="str">
            <v>автолига.рф</v>
          </cell>
          <cell r="H617">
            <v>647</v>
          </cell>
          <cell r="I617">
            <v>310</v>
          </cell>
          <cell r="J617">
            <v>305.35000000000002</v>
          </cell>
        </row>
        <row r="618">
          <cell r="A618" t="str">
            <v>8341A139</v>
          </cell>
          <cell r="B618" t="str">
            <v>ФОНАРЬ ПОДСВЕТКИ НОМЕРНОГО ЗНАКА</v>
          </cell>
          <cell r="C618" t="str">
            <v>MITSUBISHI</v>
          </cell>
          <cell r="D618">
            <v>1</v>
          </cell>
          <cell r="E618">
            <v>430</v>
          </cell>
          <cell r="G618" t="str">
            <v>автолига.рф</v>
          </cell>
          <cell r="H618">
            <v>638</v>
          </cell>
          <cell r="I618">
            <v>353</v>
          </cell>
          <cell r="J618">
            <v>347.70499999999998</v>
          </cell>
        </row>
        <row r="619">
          <cell r="A619" t="str">
            <v>86553H0500</v>
          </cell>
          <cell r="B619" t="str">
            <v>Кранштейн подфарный левый на бампере</v>
          </cell>
          <cell r="C619" t="str">
            <v>HYUNDAI/KIA</v>
          </cell>
          <cell r="D619">
            <v>9</v>
          </cell>
          <cell r="E619">
            <v>580</v>
          </cell>
          <cell r="G619" t="str">
            <v>автолига.рф</v>
          </cell>
          <cell r="H619">
            <v>630</v>
          </cell>
          <cell r="I619">
            <v>587</v>
          </cell>
          <cell r="J619">
            <v>578.19499999999994</v>
          </cell>
        </row>
        <row r="620">
          <cell r="A620" t="str">
            <v>7P0317829</v>
          </cell>
          <cell r="B620" t="str">
            <v>Кронштейн</v>
          </cell>
          <cell r="C620" t="str">
            <v>VAG</v>
          </cell>
          <cell r="D620">
            <v>15</v>
          </cell>
          <cell r="E620">
            <v>100</v>
          </cell>
          <cell r="G620" t="str">
            <v>tatparts.ru</v>
          </cell>
          <cell r="H620">
            <v>608</v>
          </cell>
          <cell r="I620">
            <v>2</v>
          </cell>
          <cell r="J620">
            <v>1.97</v>
          </cell>
        </row>
        <row r="621">
          <cell r="A621" t="str">
            <v>7P0317829</v>
          </cell>
          <cell r="B621" t="str">
            <v>Кронштейн</v>
          </cell>
          <cell r="C621" t="str">
            <v>VAG</v>
          </cell>
          <cell r="D621">
            <v>14</v>
          </cell>
          <cell r="E621">
            <v>100</v>
          </cell>
          <cell r="G621" t="str">
            <v>tatparts.ru</v>
          </cell>
          <cell r="H621">
            <v>608</v>
          </cell>
          <cell r="I621">
            <v>2</v>
          </cell>
          <cell r="J621">
            <v>1.97</v>
          </cell>
        </row>
        <row r="622">
          <cell r="A622" t="str">
            <v>7P0317829</v>
          </cell>
          <cell r="B622" t="str">
            <v>Кронштейн</v>
          </cell>
          <cell r="C622" t="str">
            <v>VAG</v>
          </cell>
          <cell r="D622">
            <v>15</v>
          </cell>
          <cell r="E622">
            <v>100</v>
          </cell>
          <cell r="G622" t="str">
            <v>tatparts.ru</v>
          </cell>
          <cell r="H622">
            <v>608</v>
          </cell>
          <cell r="I622">
            <v>2</v>
          </cell>
          <cell r="J622">
            <v>1.97</v>
          </cell>
        </row>
        <row r="623">
          <cell r="A623" t="str">
            <v>7P0317829</v>
          </cell>
          <cell r="B623" t="str">
            <v>Кронштейн</v>
          </cell>
          <cell r="C623" t="str">
            <v>VAG</v>
          </cell>
          <cell r="D623">
            <v>3</v>
          </cell>
          <cell r="E623">
            <v>100</v>
          </cell>
          <cell r="G623" t="str">
            <v>tatparts.ru</v>
          </cell>
          <cell r="H623">
            <v>883</v>
          </cell>
          <cell r="I623">
            <v>2</v>
          </cell>
          <cell r="J623">
            <v>1.97</v>
          </cell>
        </row>
        <row r="624">
          <cell r="A624" t="str">
            <v>7P0317829</v>
          </cell>
          <cell r="B624" t="str">
            <v>Кронштейн</v>
          </cell>
          <cell r="C624" t="str">
            <v>VAG</v>
          </cell>
          <cell r="D624">
            <v>4</v>
          </cell>
          <cell r="E624">
            <v>100</v>
          </cell>
          <cell r="G624" t="str">
            <v>tatparts.ru</v>
          </cell>
          <cell r="H624">
            <v>872</v>
          </cell>
          <cell r="I624">
            <v>2</v>
          </cell>
          <cell r="J624">
            <v>1.97</v>
          </cell>
        </row>
        <row r="625">
          <cell r="A625" t="str">
            <v>7P0317829</v>
          </cell>
          <cell r="B625" t="str">
            <v>Кронштейн</v>
          </cell>
          <cell r="C625" t="str">
            <v>VAG</v>
          </cell>
          <cell r="D625">
            <v>5</v>
          </cell>
          <cell r="E625">
            <v>100</v>
          </cell>
          <cell r="G625" t="str">
            <v>tatparts.ru</v>
          </cell>
          <cell r="H625">
            <v>809</v>
          </cell>
          <cell r="I625">
            <v>2</v>
          </cell>
          <cell r="J625">
            <v>1.97</v>
          </cell>
        </row>
        <row r="626">
          <cell r="A626" t="str">
            <v>7P0317829</v>
          </cell>
          <cell r="B626" t="str">
            <v>Кронштейн</v>
          </cell>
          <cell r="C626" t="str">
            <v>VAG</v>
          </cell>
          <cell r="D626">
            <v>1</v>
          </cell>
          <cell r="E626">
            <v>100</v>
          </cell>
          <cell r="G626" t="str">
            <v>tatparts.ru</v>
          </cell>
          <cell r="H626">
            <v>822</v>
          </cell>
          <cell r="I626">
            <v>2</v>
          </cell>
          <cell r="J626">
            <v>1.97</v>
          </cell>
        </row>
        <row r="627">
          <cell r="A627" t="str">
            <v>8K5853274P9B9</v>
          </cell>
          <cell r="B627" t="str">
            <v>Накладка, угловая</v>
          </cell>
          <cell r="C627" t="str">
            <v>VAG</v>
          </cell>
          <cell r="D627">
            <v>1</v>
          </cell>
          <cell r="E627">
            <v>863.93365000000006</v>
          </cell>
          <cell r="G627" t="str">
            <v>tatparts.ru</v>
          </cell>
          <cell r="H627">
            <v>600</v>
          </cell>
          <cell r="I627">
            <v>398</v>
          </cell>
          <cell r="J627">
            <v>392.03</v>
          </cell>
        </row>
        <row r="628">
          <cell r="A628" t="str">
            <v>8535442010C0</v>
          </cell>
          <cell r="B628" t="str">
            <v>КРЫШКА ОМЫВАТЕЛЯ ФАР ЛЕВАЯ Rav4</v>
          </cell>
          <cell r="C628" t="str">
            <v>TOYOTA</v>
          </cell>
          <cell r="D628">
            <v>1</v>
          </cell>
          <cell r="E628">
            <v>385</v>
          </cell>
          <cell r="G628" t="str">
            <v>автолига.рф</v>
          </cell>
          <cell r="H628">
            <v>599</v>
          </cell>
          <cell r="I628">
            <v>386</v>
          </cell>
          <cell r="J628">
            <v>380.21</v>
          </cell>
        </row>
        <row r="629">
          <cell r="A629" t="str">
            <v>84116B2000</v>
          </cell>
          <cell r="B629" t="str">
            <v>Пленка антигравийная крыла левого</v>
          </cell>
          <cell r="C629" t="str">
            <v>HYUNDAI/KIA</v>
          </cell>
          <cell r="D629">
            <v>1</v>
          </cell>
          <cell r="E629">
            <v>230</v>
          </cell>
          <cell r="G629" t="str">
            <v>автолига.рф</v>
          </cell>
          <cell r="H629">
            <v>586</v>
          </cell>
          <cell r="I629">
            <v>227</v>
          </cell>
          <cell r="J629">
            <v>223.595</v>
          </cell>
        </row>
        <row r="630">
          <cell r="A630" t="str">
            <v>73126SNAA00</v>
          </cell>
          <cell r="B630" t="str">
            <v>Уплотнитель лобового стекла</v>
          </cell>
          <cell r="C630" t="str">
            <v>HONDA</v>
          </cell>
          <cell r="D630">
            <v>1</v>
          </cell>
          <cell r="E630">
            <v>475</v>
          </cell>
          <cell r="G630" t="str">
            <v>автолига.рф</v>
          </cell>
          <cell r="H630">
            <v>542</v>
          </cell>
          <cell r="I630">
            <v>478</v>
          </cell>
          <cell r="J630">
            <v>470.83</v>
          </cell>
        </row>
        <row r="631">
          <cell r="A631" t="str">
            <v>8200384035</v>
          </cell>
          <cell r="B631" t="str">
            <v>Катафот заднего бампера левый</v>
          </cell>
          <cell r="C631" t="str">
            <v>RENAULT</v>
          </cell>
          <cell r="D631">
            <v>1</v>
          </cell>
          <cell r="E631">
            <v>184.19499999999999</v>
          </cell>
          <cell r="G631" t="str">
            <v>tatparts.ru</v>
          </cell>
          <cell r="H631">
            <v>506</v>
          </cell>
          <cell r="I631">
            <v>162</v>
          </cell>
          <cell r="J631">
            <v>159.57</v>
          </cell>
        </row>
        <row r="632">
          <cell r="A632" t="str">
            <v>65245FL000</v>
          </cell>
          <cell r="B632" t="str">
            <v>УПЛОТНИТЕЛЬ СТЕКЛА</v>
          </cell>
          <cell r="C632" t="str">
            <v>SUBARU</v>
          </cell>
          <cell r="D632">
            <v>1</v>
          </cell>
          <cell r="E632">
            <v>250</v>
          </cell>
          <cell r="G632" t="str">
            <v>автолига.рф</v>
          </cell>
          <cell r="H632">
            <v>486</v>
          </cell>
          <cell r="I632">
            <v>249</v>
          </cell>
          <cell r="J632">
            <v>245.26499999999999</v>
          </cell>
        </row>
        <row r="633">
          <cell r="A633" t="str">
            <v>2H6860565D</v>
          </cell>
          <cell r="B633" t="str">
            <v>Кронштейн левый</v>
          </cell>
          <cell r="C633" t="str">
            <v>VAG</v>
          </cell>
          <cell r="D633">
            <v>1</v>
          </cell>
          <cell r="E633">
            <v>180</v>
          </cell>
          <cell r="G633" t="str">
            <v>автолига.рф</v>
          </cell>
          <cell r="H633">
            <v>471</v>
          </cell>
          <cell r="I633">
            <v>180</v>
          </cell>
          <cell r="J633">
            <v>177.3</v>
          </cell>
        </row>
        <row r="634">
          <cell r="A634" t="str">
            <v>2H6860565E</v>
          </cell>
          <cell r="B634" t="str">
            <v>Кронштейн правый</v>
          </cell>
          <cell r="C634" t="str">
            <v>VAG</v>
          </cell>
          <cell r="D634">
            <v>1</v>
          </cell>
          <cell r="E634">
            <v>180</v>
          </cell>
          <cell r="G634" t="str">
            <v>автолига.рф</v>
          </cell>
          <cell r="H634">
            <v>471</v>
          </cell>
          <cell r="I634">
            <v>180</v>
          </cell>
          <cell r="J634">
            <v>177.3</v>
          </cell>
        </row>
        <row r="635">
          <cell r="A635" t="str">
            <v>86554H0000</v>
          </cell>
          <cell r="B635" t="str">
            <v>Кронштейн переднего бампера правый</v>
          </cell>
          <cell r="C635" t="str">
            <v>HYUNDAI/KIA</v>
          </cell>
          <cell r="D635">
            <v>3</v>
          </cell>
          <cell r="E635">
            <v>280.72500000000002</v>
          </cell>
          <cell r="G635" t="str">
            <v>автолига.рф</v>
          </cell>
          <cell r="H635">
            <v>457</v>
          </cell>
          <cell r="I635">
            <v>266</v>
          </cell>
          <cell r="J635">
            <v>262.01</v>
          </cell>
        </row>
        <row r="636">
          <cell r="A636" t="str">
            <v>86554H0000</v>
          </cell>
          <cell r="B636" t="str">
            <v>Кронштейн переднего бампера правый</v>
          </cell>
          <cell r="C636" t="str">
            <v>HYUNDAI/KIA</v>
          </cell>
          <cell r="D636">
            <v>3</v>
          </cell>
          <cell r="E636">
            <v>240.34</v>
          </cell>
          <cell r="G636" t="str">
            <v>автолига.рф</v>
          </cell>
          <cell r="H636">
            <v>457</v>
          </cell>
          <cell r="I636">
            <v>227</v>
          </cell>
          <cell r="J636">
            <v>223.595</v>
          </cell>
        </row>
        <row r="637">
          <cell r="A637" t="str">
            <v>86554H0000</v>
          </cell>
          <cell r="B637" t="str">
            <v>Кронштейн переднего бампера правый</v>
          </cell>
          <cell r="C637" t="str">
            <v>HYUNDAI/KIA</v>
          </cell>
          <cell r="D637">
            <v>2</v>
          </cell>
          <cell r="E637">
            <v>240.34</v>
          </cell>
          <cell r="G637" t="str">
            <v>автолига.рф</v>
          </cell>
          <cell r="H637">
            <v>457</v>
          </cell>
          <cell r="I637">
            <v>227</v>
          </cell>
          <cell r="J637">
            <v>223.595</v>
          </cell>
        </row>
        <row r="638">
          <cell r="A638" t="str">
            <v>51447903794</v>
          </cell>
          <cell r="B638" t="str">
            <v>Накладка фонаря стоп-сигнала</v>
          </cell>
          <cell r="C638" t="str">
            <v>BMW</v>
          </cell>
          <cell r="D638">
            <v>1</v>
          </cell>
          <cell r="E638">
            <v>565.80369999999994</v>
          </cell>
          <cell r="G638" t="str">
            <v>tatparts.ru</v>
          </cell>
          <cell r="H638">
            <v>452</v>
          </cell>
          <cell r="I638">
            <v>259</v>
          </cell>
          <cell r="J638">
            <v>255.11500000000001</v>
          </cell>
        </row>
        <row r="639">
          <cell r="A639" t="str">
            <v>8450008478</v>
          </cell>
          <cell r="B639" t="str">
            <v>НАКЛАДКА ЗАДНЕЙ СТОЙКИ ЗАДНЕЙ ДВЕРИ ПРАВАЯ</v>
          </cell>
          <cell r="C639" t="str">
            <v>LADA</v>
          </cell>
          <cell r="D639">
            <v>1</v>
          </cell>
          <cell r="E639">
            <v>150</v>
          </cell>
          <cell r="G639" t="str">
            <v>tatparts.ru</v>
          </cell>
          <cell r="H639">
            <v>450</v>
          </cell>
          <cell r="I639">
            <v>120</v>
          </cell>
          <cell r="J639">
            <v>118.2</v>
          </cell>
        </row>
        <row r="640">
          <cell r="A640" t="str">
            <v>8450008479</v>
          </cell>
          <cell r="B640" t="str">
            <v>Накладка задней стойки задней двери левая</v>
          </cell>
          <cell r="C640" t="str">
            <v>LADA</v>
          </cell>
          <cell r="D640">
            <v>1</v>
          </cell>
          <cell r="E640">
            <v>150</v>
          </cell>
          <cell r="G640" t="str">
            <v>tatparts.ru</v>
          </cell>
          <cell r="H640">
            <v>450</v>
          </cell>
          <cell r="I640">
            <v>120</v>
          </cell>
          <cell r="J640">
            <v>118.2</v>
          </cell>
        </row>
        <row r="641">
          <cell r="A641" t="str">
            <v>3C0810379</v>
          </cell>
          <cell r="B641" t="str">
            <v>Кронштейн</v>
          </cell>
          <cell r="C641" t="str">
            <v>VAG</v>
          </cell>
          <cell r="D641">
            <v>1</v>
          </cell>
          <cell r="E641">
            <v>150</v>
          </cell>
          <cell r="G641" t="str">
            <v>tatparts.ru</v>
          </cell>
          <cell r="H641">
            <v>407</v>
          </cell>
          <cell r="I641">
            <v>101</v>
          </cell>
          <cell r="J641">
            <v>99.484999999999999</v>
          </cell>
        </row>
        <row r="642">
          <cell r="A642" t="str">
            <v>21910840407400</v>
          </cell>
          <cell r="B642" t="str">
            <v>УСИЛИТЕЛЬ ЗАДНЕГО КРЫЛА ПРАВЫЙ</v>
          </cell>
          <cell r="C642" t="str">
            <v>LADA</v>
          </cell>
          <cell r="D642">
            <v>1</v>
          </cell>
          <cell r="E642">
            <v>29037.8</v>
          </cell>
          <cell r="G642" t="str">
            <v>tatparts.ru</v>
          </cell>
          <cell r="H642">
            <v>394</v>
          </cell>
          <cell r="I642">
            <v>337</v>
          </cell>
          <cell r="J642">
            <v>331.94499999999999</v>
          </cell>
        </row>
        <row r="643">
          <cell r="A643" t="str">
            <v>5JH813270</v>
          </cell>
          <cell r="B643" t="str">
            <v>Кронштейн задней панели кузова</v>
          </cell>
          <cell r="C643" t="str">
            <v>VAG</v>
          </cell>
          <cell r="D643">
            <v>1</v>
          </cell>
          <cell r="E643">
            <v>305</v>
          </cell>
          <cell r="G643" t="str">
            <v>автолига.рф</v>
          </cell>
          <cell r="H643">
            <v>385</v>
          </cell>
          <cell r="I643">
            <v>303</v>
          </cell>
          <cell r="J643">
            <v>298.45499999999998</v>
          </cell>
        </row>
        <row r="644">
          <cell r="A644" t="str">
            <v>86554J5000</v>
          </cell>
          <cell r="B644" t="str">
            <v>Кронштейн крепления переднего бампера</v>
          </cell>
          <cell r="C644" t="str">
            <v>HYUNDAI/KIA</v>
          </cell>
          <cell r="D644">
            <v>1</v>
          </cell>
          <cell r="E644">
            <v>189</v>
          </cell>
          <cell r="G644" t="str">
            <v>автолига.рф</v>
          </cell>
          <cell r="H644">
            <v>381</v>
          </cell>
          <cell r="I644">
            <v>157</v>
          </cell>
          <cell r="J644">
            <v>154.64500000000001</v>
          </cell>
        </row>
        <row r="645">
          <cell r="A645" t="str">
            <v>LR087728</v>
          </cell>
          <cell r="B645" t="str">
            <v>Фонарь номерного знака (Акция Q597)</v>
          </cell>
          <cell r="C645" t="str">
            <v>LANDROVER</v>
          </cell>
          <cell r="D645">
            <v>1</v>
          </cell>
          <cell r="E645">
            <v>386.12</v>
          </cell>
          <cell r="G645" t="str">
            <v>автолига.рф</v>
          </cell>
          <cell r="H645">
            <v>376</v>
          </cell>
          <cell r="I645">
            <v>249</v>
          </cell>
          <cell r="J645">
            <v>245.26499999999999</v>
          </cell>
        </row>
        <row r="646">
          <cell r="A646" t="str">
            <v>LR087728</v>
          </cell>
          <cell r="B646" t="str">
            <v>Фонарь номерного знака (Акция Q597)</v>
          </cell>
          <cell r="C646" t="str">
            <v>LANDROVER</v>
          </cell>
          <cell r="D646">
            <v>2</v>
          </cell>
          <cell r="E646">
            <v>386.12</v>
          </cell>
          <cell r="G646" t="str">
            <v>автолига.рф</v>
          </cell>
          <cell r="H646">
            <v>376</v>
          </cell>
          <cell r="I646">
            <v>249</v>
          </cell>
          <cell r="J646">
            <v>245.26499999999999</v>
          </cell>
        </row>
        <row r="647">
          <cell r="A647" t="str">
            <v>LR087728</v>
          </cell>
          <cell r="B647" t="str">
            <v>Фонарь номерного знака (Акция Q597)</v>
          </cell>
          <cell r="C647" t="str">
            <v>LANDROVER</v>
          </cell>
          <cell r="D647">
            <v>2</v>
          </cell>
          <cell r="E647">
            <v>386.12</v>
          </cell>
          <cell r="G647" t="str">
            <v>автолига.рф</v>
          </cell>
          <cell r="H647">
            <v>288</v>
          </cell>
          <cell r="I647">
            <v>249</v>
          </cell>
          <cell r="J647">
            <v>245.26499999999999</v>
          </cell>
        </row>
        <row r="648">
          <cell r="A648" t="str">
            <v>LR087728</v>
          </cell>
          <cell r="B648" t="str">
            <v>Фонарь номерного знака (Акция Q597)</v>
          </cell>
          <cell r="C648" t="str">
            <v>LANDROVER</v>
          </cell>
          <cell r="D648">
            <v>3</v>
          </cell>
          <cell r="E648">
            <v>386.12</v>
          </cell>
          <cell r="G648" t="str">
            <v>автолига.рф</v>
          </cell>
          <cell r="H648">
            <v>376</v>
          </cell>
          <cell r="I648">
            <v>249</v>
          </cell>
          <cell r="J648">
            <v>245.26499999999999</v>
          </cell>
        </row>
        <row r="649">
          <cell r="A649" t="str">
            <v>21918201232</v>
          </cell>
          <cell r="B649" t="str">
            <v>Накладка корпуса наружного зеркала</v>
          </cell>
          <cell r="C649" t="str">
            <v>LADA</v>
          </cell>
          <cell r="D649">
            <v>1</v>
          </cell>
          <cell r="E649">
            <v>325</v>
          </cell>
          <cell r="G649" t="str">
            <v>tatparts.ru</v>
          </cell>
          <cell r="H649">
            <v>365</v>
          </cell>
          <cell r="I649">
            <v>297</v>
          </cell>
          <cell r="J649">
            <v>292.54500000000002</v>
          </cell>
        </row>
        <row r="650">
          <cell r="A650" t="str">
            <v>5JA827250C</v>
          </cell>
          <cell r="B650" t="str">
            <v>Клин фиксирующий</v>
          </cell>
          <cell r="C650" t="str">
            <v>VAG</v>
          </cell>
          <cell r="D650">
            <v>2</v>
          </cell>
          <cell r="E650">
            <v>289</v>
          </cell>
          <cell r="G650" t="str">
            <v>tatparts.ru</v>
          </cell>
          <cell r="H650">
            <v>349</v>
          </cell>
          <cell r="I650">
            <v>287</v>
          </cell>
          <cell r="J650">
            <v>282.69499999999999</v>
          </cell>
        </row>
        <row r="651">
          <cell r="A651" t="str">
            <v>21910840407500</v>
          </cell>
          <cell r="B651" t="str">
            <v>УСИЛИТЕЛЬ ЗАДНЕГО КРЫЛА ЛЕВЫЙ</v>
          </cell>
          <cell r="C651" t="str">
            <v>LADA</v>
          </cell>
          <cell r="D651">
            <v>1</v>
          </cell>
          <cell r="E651">
            <v>29037.8</v>
          </cell>
          <cell r="G651" t="str">
            <v>tatparts.ru</v>
          </cell>
          <cell r="H651">
            <v>335</v>
          </cell>
          <cell r="I651">
            <v>92</v>
          </cell>
          <cell r="J651">
            <v>90.62</v>
          </cell>
        </row>
        <row r="652">
          <cell r="A652" t="str">
            <v>865133X000</v>
          </cell>
          <cell r="B652" t="str">
            <v>Кронштейн внутренний лев.</v>
          </cell>
          <cell r="C652" t="str">
            <v>HYUNDAI/KIA</v>
          </cell>
          <cell r="D652">
            <v>1</v>
          </cell>
          <cell r="E652">
            <v>295</v>
          </cell>
          <cell r="G652" t="str">
            <v>автолига.рф</v>
          </cell>
          <cell r="H652">
            <v>332</v>
          </cell>
          <cell r="I652">
            <v>297</v>
          </cell>
          <cell r="J652">
            <v>292.54500000000002</v>
          </cell>
        </row>
        <row r="653">
          <cell r="A653" t="str">
            <v>8450008476</v>
          </cell>
          <cell r="B653" t="str">
            <v>Накладка передней стойки задней двери задняя правая</v>
          </cell>
          <cell r="C653" t="str">
            <v>LADA</v>
          </cell>
          <cell r="D653">
            <v>1</v>
          </cell>
          <cell r="E653">
            <v>100</v>
          </cell>
          <cell r="G653" t="str">
            <v>автолига.рф</v>
          </cell>
          <cell r="H653">
            <v>330</v>
          </cell>
          <cell r="I653">
            <v>95</v>
          </cell>
          <cell r="J653">
            <v>93.575000000000003</v>
          </cell>
        </row>
        <row r="654">
          <cell r="A654" t="str">
            <v>8200384036</v>
          </cell>
          <cell r="B654" t="str">
            <v>Катафот бампера зад.прав.</v>
          </cell>
          <cell r="C654" t="str">
            <v>RENAULT</v>
          </cell>
          <cell r="D654">
            <v>1</v>
          </cell>
          <cell r="E654">
            <v>175</v>
          </cell>
          <cell r="G654" t="str">
            <v>tatparts.ru</v>
          </cell>
          <cell r="H654">
            <v>327</v>
          </cell>
          <cell r="I654">
            <v>160</v>
          </cell>
          <cell r="J654">
            <v>157.6</v>
          </cell>
        </row>
        <row r="655">
          <cell r="A655" t="str">
            <v>607000088AA</v>
          </cell>
          <cell r="B655" t="str">
            <v>ФОРСУНКА ОМЫВАТЕЛЯ ПЕРЕДНЕГО СТЕКЛА M32T/M32TFL</v>
          </cell>
          <cell r="C655" t="str">
            <v>CHERY</v>
          </cell>
          <cell r="D655">
            <v>1</v>
          </cell>
          <cell r="E655">
            <v>100</v>
          </cell>
          <cell r="G655" t="str">
            <v>автолига.рф</v>
          </cell>
          <cell r="H655">
            <v>314</v>
          </cell>
          <cell r="I655">
            <v>47</v>
          </cell>
          <cell r="J655">
            <v>46.295000000000002</v>
          </cell>
        </row>
        <row r="656">
          <cell r="A656" t="str">
            <v>607000088AA</v>
          </cell>
          <cell r="B656" t="str">
            <v>ФОРСУНКА ОМЫВАТЕЛЯ ПЕРЕДНЕГО СТЕКЛА M32T/M32TFL</v>
          </cell>
          <cell r="C656" t="str">
            <v>CHERY</v>
          </cell>
          <cell r="D656">
            <v>1</v>
          </cell>
          <cell r="E656">
            <v>100</v>
          </cell>
          <cell r="G656" t="str">
            <v>автолига.рф</v>
          </cell>
          <cell r="H656">
            <v>314</v>
          </cell>
          <cell r="I656">
            <v>47</v>
          </cell>
          <cell r="J656">
            <v>46.295000000000002</v>
          </cell>
        </row>
        <row r="657">
          <cell r="A657" t="str">
            <v>607000088AA</v>
          </cell>
          <cell r="B657" t="str">
            <v>ФОРСУНКА ОМЫВАТЕЛЯ ПЕРЕДНЕГО СТЕКЛА M32T/M32TFL</v>
          </cell>
          <cell r="C657" t="str">
            <v>CHERY</v>
          </cell>
          <cell r="D657">
            <v>2</v>
          </cell>
          <cell r="E657">
            <v>100</v>
          </cell>
          <cell r="G657" t="str">
            <v>автолига.рф</v>
          </cell>
          <cell r="H657">
            <v>314</v>
          </cell>
          <cell r="I657">
            <v>47</v>
          </cell>
          <cell r="J657">
            <v>46.295000000000002</v>
          </cell>
        </row>
        <row r="658">
          <cell r="A658" t="str">
            <v>86636A7000</v>
          </cell>
          <cell r="B658" t="str">
            <v>Кронштейн заднего бампера</v>
          </cell>
          <cell r="C658" t="str">
            <v>HYUNDAI/KIA</v>
          </cell>
          <cell r="D658">
            <v>1</v>
          </cell>
          <cell r="E658">
            <v>233.44499999999999</v>
          </cell>
          <cell r="G658" t="str">
            <v>автолига.рф</v>
          </cell>
          <cell r="H658">
            <v>312</v>
          </cell>
          <cell r="I658">
            <v>213</v>
          </cell>
          <cell r="J658">
            <v>209.80500000000001</v>
          </cell>
        </row>
        <row r="659">
          <cell r="A659" t="str">
            <v>5211A207</v>
          </cell>
          <cell r="B659" t="str">
            <v>Усилитель кронштейна фар лев.</v>
          </cell>
          <cell r="C659" t="str">
            <v>MITSUBISHI</v>
          </cell>
          <cell r="D659">
            <v>1</v>
          </cell>
          <cell r="E659">
            <v>100</v>
          </cell>
          <cell r="G659" t="str">
            <v>tatparts.ru</v>
          </cell>
          <cell r="H659">
            <v>309</v>
          </cell>
          <cell r="I659">
            <v>3</v>
          </cell>
          <cell r="J659">
            <v>2.9550000000000001</v>
          </cell>
        </row>
        <row r="660">
          <cell r="A660" t="str">
            <v>5211A208</v>
          </cell>
          <cell r="B660" t="str">
            <v>Усилитель кронштейна фар прав.</v>
          </cell>
          <cell r="C660" t="str">
            <v>MITSUBISHI</v>
          </cell>
          <cell r="D660">
            <v>1</v>
          </cell>
          <cell r="E660">
            <v>100</v>
          </cell>
          <cell r="G660" t="str">
            <v>tatparts.ru</v>
          </cell>
          <cell r="H660">
            <v>309</v>
          </cell>
          <cell r="I660">
            <v>3</v>
          </cell>
          <cell r="J660">
            <v>2.9550000000000001</v>
          </cell>
        </row>
        <row r="661">
          <cell r="A661" t="str">
            <v>5211A208</v>
          </cell>
          <cell r="B661" t="str">
            <v>Усилитель кронштейна фар прав.</v>
          </cell>
          <cell r="C661" t="str">
            <v>MITSUBISHI</v>
          </cell>
          <cell r="D661">
            <v>1</v>
          </cell>
          <cell r="E661">
            <v>100</v>
          </cell>
          <cell r="G661" t="str">
            <v>tatparts.ru</v>
          </cell>
          <cell r="H661">
            <v>309</v>
          </cell>
          <cell r="I661">
            <v>3</v>
          </cell>
          <cell r="J661">
            <v>2.9550000000000001</v>
          </cell>
        </row>
        <row r="662">
          <cell r="A662" t="str">
            <v>5211A208</v>
          </cell>
          <cell r="B662" t="str">
            <v>Усилитель кронштейна фар прав.</v>
          </cell>
          <cell r="C662" t="str">
            <v>MITSUBISHI</v>
          </cell>
          <cell r="D662">
            <v>1</v>
          </cell>
          <cell r="E662">
            <v>100</v>
          </cell>
          <cell r="G662" t="str">
            <v>tatparts.ru</v>
          </cell>
          <cell r="H662">
            <v>309</v>
          </cell>
          <cell r="I662">
            <v>3</v>
          </cell>
          <cell r="J662">
            <v>2.9550000000000001</v>
          </cell>
        </row>
        <row r="663">
          <cell r="A663" t="str">
            <v>86655J7000</v>
          </cell>
          <cell r="B663" t="str">
            <v>Кронштейн заднего бампера</v>
          </cell>
          <cell r="C663" t="str">
            <v>HYUNDAI/KIA</v>
          </cell>
          <cell r="D663">
            <v>1</v>
          </cell>
          <cell r="E663">
            <v>100</v>
          </cell>
          <cell r="G663" t="str">
            <v>tatparts.ru</v>
          </cell>
          <cell r="H663">
            <v>305</v>
          </cell>
          <cell r="I663">
            <v>11</v>
          </cell>
          <cell r="J663">
            <v>10.834999999999999</v>
          </cell>
        </row>
        <row r="664">
          <cell r="A664" t="str">
            <v>86655J7000</v>
          </cell>
          <cell r="B664" t="str">
            <v>Кронштейн заднего бампера</v>
          </cell>
          <cell r="C664" t="str">
            <v>HYUNDAI/KIA</v>
          </cell>
          <cell r="D664">
            <v>1</v>
          </cell>
          <cell r="E664">
            <v>100</v>
          </cell>
          <cell r="G664" t="str">
            <v>tatparts.ru</v>
          </cell>
          <cell r="H664">
            <v>305</v>
          </cell>
          <cell r="I664">
            <v>11</v>
          </cell>
          <cell r="J664">
            <v>10.834999999999999</v>
          </cell>
        </row>
        <row r="665">
          <cell r="A665" t="str">
            <v>86655J7000</v>
          </cell>
          <cell r="B665" t="str">
            <v>Кронштейн заднего бампера</v>
          </cell>
          <cell r="C665" t="str">
            <v>HYUNDAI/KIA</v>
          </cell>
          <cell r="D665">
            <v>1</v>
          </cell>
          <cell r="E665">
            <v>100</v>
          </cell>
          <cell r="G665" t="str">
            <v>tatparts.ru</v>
          </cell>
          <cell r="H665">
            <v>305</v>
          </cell>
          <cell r="I665">
            <v>11</v>
          </cell>
          <cell r="J665">
            <v>10.834999999999999</v>
          </cell>
        </row>
        <row r="666">
          <cell r="A666" t="str">
            <v>86655J7000</v>
          </cell>
          <cell r="B666" t="str">
            <v>Кронштейн заднего бампера</v>
          </cell>
          <cell r="C666" t="str">
            <v>HYUNDAI/KIA</v>
          </cell>
          <cell r="D666">
            <v>1</v>
          </cell>
          <cell r="E666">
            <v>100</v>
          </cell>
          <cell r="G666" t="str">
            <v>tatparts.ru</v>
          </cell>
          <cell r="H666">
            <v>305</v>
          </cell>
          <cell r="I666">
            <v>11</v>
          </cell>
          <cell r="J666">
            <v>10.834999999999999</v>
          </cell>
        </row>
        <row r="667">
          <cell r="A667" t="str">
            <v>5611960020</v>
          </cell>
          <cell r="B667" t="str">
            <v>КЛИПСА УПЛОТНИТЕЛЯ ЛОБОВОГО СТЕКЛА</v>
          </cell>
          <cell r="C667" t="str">
            <v>TOYOTA</v>
          </cell>
          <cell r="D667">
            <v>1</v>
          </cell>
          <cell r="E667">
            <v>100</v>
          </cell>
          <cell r="G667" t="str">
            <v>автолига.рф</v>
          </cell>
          <cell r="H667">
            <v>298</v>
          </cell>
          <cell r="I667">
            <v>67</v>
          </cell>
          <cell r="J667">
            <v>65.995000000000005</v>
          </cell>
        </row>
        <row r="668">
          <cell r="A668" t="str">
            <v>6R0121093G</v>
          </cell>
          <cell r="B668" t="str">
            <v>Кронштейн зажимной</v>
          </cell>
          <cell r="C668" t="str">
            <v>VAG</v>
          </cell>
          <cell r="D668">
            <v>1</v>
          </cell>
          <cell r="E668">
            <v>79.784999999999997</v>
          </cell>
          <cell r="G668" t="str">
            <v>автолига.рф</v>
          </cell>
          <cell r="H668">
            <v>289</v>
          </cell>
          <cell r="I668">
            <v>65</v>
          </cell>
          <cell r="J668">
            <v>64.025000000000006</v>
          </cell>
        </row>
        <row r="669">
          <cell r="A669" t="str">
            <v>R8480AC001EL</v>
          </cell>
          <cell r="B669" t="str">
            <v>Эмблема UEFA 2019</v>
          </cell>
          <cell r="C669" t="str">
            <v>HYUNDAI/KIA</v>
          </cell>
          <cell r="D669">
            <v>2</v>
          </cell>
          <cell r="E669">
            <v>223.595</v>
          </cell>
          <cell r="G669" t="str">
            <v>tatparts.ru</v>
          </cell>
          <cell r="H669">
            <v>263</v>
          </cell>
          <cell r="I669">
            <v>227</v>
          </cell>
          <cell r="J669">
            <v>223.595</v>
          </cell>
        </row>
        <row r="670">
          <cell r="A670" t="str">
            <v>VDMM1</v>
          </cell>
          <cell r="B670" t="str">
            <v>Шумоизоляция AURA</v>
          </cell>
          <cell r="C670" t="str">
            <v>AURAMI</v>
          </cell>
          <cell r="D670">
            <v>3</v>
          </cell>
          <cell r="E670">
            <v>343.42024999999995</v>
          </cell>
          <cell r="H670">
            <v>262</v>
          </cell>
          <cell r="I670">
            <v>216</v>
          </cell>
          <cell r="J670">
            <v>212.76</v>
          </cell>
        </row>
        <row r="671">
          <cell r="A671" t="str">
            <v>861142W000</v>
          </cell>
          <cell r="B671" t="str">
            <v>Проставка ветрового стекла</v>
          </cell>
          <cell r="C671" t="str">
            <v>HYUNDAI/KIA</v>
          </cell>
          <cell r="D671">
            <v>11</v>
          </cell>
          <cell r="E671">
            <v>218.67</v>
          </cell>
          <cell r="G671" t="str">
            <v>автолига.рф</v>
          </cell>
          <cell r="H671">
            <v>251</v>
          </cell>
          <cell r="I671">
            <v>222</v>
          </cell>
          <cell r="J671">
            <v>218.67</v>
          </cell>
        </row>
        <row r="672">
          <cell r="A672" t="str">
            <v>861423N000</v>
          </cell>
          <cell r="B672" t="str">
            <v>Кронштейн молдинга стекла прав.</v>
          </cell>
          <cell r="C672" t="str">
            <v>HYUNDAI/KIA</v>
          </cell>
          <cell r="D672">
            <v>1</v>
          </cell>
          <cell r="E672">
            <v>70</v>
          </cell>
          <cell r="G672" t="str">
            <v>tatparts.ru</v>
          </cell>
          <cell r="H672">
            <v>247</v>
          </cell>
          <cell r="I672">
            <v>65</v>
          </cell>
          <cell r="J672">
            <v>64.025000000000006</v>
          </cell>
        </row>
        <row r="673">
          <cell r="A673" t="str">
            <v>T2H26120</v>
          </cell>
          <cell r="B673" t="str">
            <v>Уплотнитель</v>
          </cell>
          <cell r="C673" t="str">
            <v>JAGUAR</v>
          </cell>
          <cell r="D673">
            <v>8</v>
          </cell>
          <cell r="E673">
            <v>50</v>
          </cell>
          <cell r="G673" t="str">
            <v>tatparts.ru</v>
          </cell>
          <cell r="H673">
            <v>242</v>
          </cell>
          <cell r="I673">
            <v>31</v>
          </cell>
          <cell r="J673">
            <v>30.535</v>
          </cell>
        </row>
        <row r="674">
          <cell r="A674" t="str">
            <v>92455A7000FFF</v>
          </cell>
          <cell r="B674" t="str">
            <v>Уплотнитель фонаря</v>
          </cell>
          <cell r="C674" t="str">
            <v>HYUNDAI/KIA</v>
          </cell>
          <cell r="D674">
            <v>1</v>
          </cell>
          <cell r="E674">
            <v>150</v>
          </cell>
          <cell r="G674" t="str">
            <v>автолига.рф</v>
          </cell>
          <cell r="H674">
            <v>238</v>
          </cell>
          <cell r="I674">
            <v>147</v>
          </cell>
          <cell r="J674">
            <v>144.79499999999999</v>
          </cell>
        </row>
        <row r="675">
          <cell r="A675" t="str">
            <v>8450041872</v>
          </cell>
          <cell r="B675" t="str">
            <v>Заглушка ручки наружная правая. Цвет Платина</v>
          </cell>
          <cell r="C675" t="str">
            <v>LADA</v>
          </cell>
          <cell r="D675">
            <v>2</v>
          </cell>
          <cell r="E675">
            <v>100</v>
          </cell>
          <cell r="G675" t="str">
            <v>tatparts.ru</v>
          </cell>
          <cell r="H675">
            <v>229</v>
          </cell>
          <cell r="I675">
            <v>21</v>
          </cell>
          <cell r="J675">
            <v>20.684999999999999</v>
          </cell>
        </row>
        <row r="676">
          <cell r="A676" t="str">
            <v>8450041873</v>
          </cell>
          <cell r="B676" t="str">
            <v>Заглушка ручки наружная левая. Цвет Платина</v>
          </cell>
          <cell r="C676" t="str">
            <v>LADA</v>
          </cell>
          <cell r="D676">
            <v>1</v>
          </cell>
          <cell r="E676">
            <v>100</v>
          </cell>
          <cell r="G676" t="str">
            <v>tatparts.ru</v>
          </cell>
          <cell r="H676">
            <v>229</v>
          </cell>
          <cell r="I676">
            <v>21</v>
          </cell>
          <cell r="J676">
            <v>20.684999999999999</v>
          </cell>
        </row>
        <row r="677">
          <cell r="A677" t="str">
            <v>8450041888</v>
          </cell>
          <cell r="B677" t="str">
            <v>Заглушка цилиндра вык-я замка двери. Цвет Платина</v>
          </cell>
          <cell r="C677" t="str">
            <v>LADA</v>
          </cell>
          <cell r="D677">
            <v>1</v>
          </cell>
          <cell r="E677">
            <v>100</v>
          </cell>
          <cell r="G677" t="str">
            <v>tatparts.ru</v>
          </cell>
          <cell r="H677">
            <v>221</v>
          </cell>
          <cell r="I677">
            <v>21</v>
          </cell>
          <cell r="J677">
            <v>20.684999999999999</v>
          </cell>
        </row>
        <row r="678">
          <cell r="A678" t="str">
            <v>1437706</v>
          </cell>
          <cell r="B678" t="str">
            <v>УПЛОТНИТЕЛЬ</v>
          </cell>
          <cell r="C678" t="str">
            <v>FORD</v>
          </cell>
          <cell r="D678">
            <v>1</v>
          </cell>
          <cell r="E678">
            <v>70</v>
          </cell>
          <cell r="G678" t="str">
            <v>tatparts.ru</v>
          </cell>
          <cell r="H678">
            <v>209</v>
          </cell>
          <cell r="I678">
            <v>59</v>
          </cell>
          <cell r="J678">
            <v>58.115000000000002</v>
          </cell>
        </row>
        <row r="679">
          <cell r="A679" t="str">
            <v>STFDA6093B2</v>
          </cell>
          <cell r="B679" t="str">
            <v>КРЕПЛЕНИЕ РЕШЕТКИ FORD FOCUS III 11- LH</v>
          </cell>
          <cell r="C679" t="str">
            <v>SAT</v>
          </cell>
          <cell r="D679">
            <v>1</v>
          </cell>
          <cell r="E679">
            <v>183.21</v>
          </cell>
          <cell r="G679" t="str">
            <v>автолига.рф</v>
          </cell>
          <cell r="H679">
            <v>200</v>
          </cell>
          <cell r="I679">
            <v>186</v>
          </cell>
          <cell r="J679">
            <v>183.21</v>
          </cell>
        </row>
        <row r="680">
          <cell r="A680" t="str">
            <v>MW400115XB</v>
          </cell>
          <cell r="B680" t="str">
            <v>Рукоятка наклона переднего сиденья (1 шт.)</v>
          </cell>
          <cell r="C680" t="str">
            <v>MITSUBISHI</v>
          </cell>
          <cell r="D680">
            <v>14</v>
          </cell>
          <cell r="E680">
            <v>15</v>
          </cell>
          <cell r="G680" t="str">
            <v>tatparts.ru</v>
          </cell>
          <cell r="H680">
            <v>191</v>
          </cell>
          <cell r="I680">
            <v>8</v>
          </cell>
          <cell r="J680">
            <v>7.88</v>
          </cell>
        </row>
        <row r="681">
          <cell r="A681" t="str">
            <v>87115G3000</v>
          </cell>
          <cell r="B681" t="str">
            <v>Демпфер заднего стекла</v>
          </cell>
          <cell r="C681" t="str">
            <v>HYUNDAI/KIA</v>
          </cell>
          <cell r="D681">
            <v>1</v>
          </cell>
          <cell r="E681">
            <v>152.67500000000001</v>
          </cell>
          <cell r="G681" t="str">
            <v>автолига.рф</v>
          </cell>
          <cell r="H681">
            <v>176</v>
          </cell>
          <cell r="I681">
            <v>155</v>
          </cell>
          <cell r="J681">
            <v>152.67500000000001</v>
          </cell>
        </row>
        <row r="682">
          <cell r="A682" t="str">
            <v>1067002040</v>
          </cell>
          <cell r="B682" t="str">
            <v>КАТАФОТ ЗАДНЕГО БАМПЕРА ЛЕВЫЙ</v>
          </cell>
          <cell r="C682" t="str">
            <v>GEELY</v>
          </cell>
          <cell r="D682">
            <v>1</v>
          </cell>
          <cell r="E682">
            <v>127.065</v>
          </cell>
          <cell r="G682" t="str">
            <v>автолига.рф</v>
          </cell>
          <cell r="H682">
            <v>132</v>
          </cell>
          <cell r="I682">
            <v>128</v>
          </cell>
          <cell r="J682">
            <v>126.08</v>
          </cell>
        </row>
        <row r="683">
          <cell r="A683" t="str">
            <v>807916181R</v>
          </cell>
          <cell r="B683" t="str">
            <v>Фиксатор стекла</v>
          </cell>
          <cell r="C683" t="str">
            <v>RENAULT</v>
          </cell>
          <cell r="D683">
            <v>2</v>
          </cell>
          <cell r="E683">
            <v>90</v>
          </cell>
          <cell r="G683" t="str">
            <v>автолига.рф</v>
          </cell>
          <cell r="H683">
            <v>123</v>
          </cell>
          <cell r="I683">
            <v>89</v>
          </cell>
          <cell r="J683">
            <v>87.664999999999992</v>
          </cell>
        </row>
        <row r="684">
          <cell r="A684" t="str">
            <v>MR328796</v>
          </cell>
          <cell r="B684" t="str">
            <v xml:space="preserve">Заклепка </v>
          </cell>
          <cell r="C684" t="str">
            <v>MITSUBISHI</v>
          </cell>
          <cell r="D684">
            <v>1</v>
          </cell>
          <cell r="E684">
            <v>89.635000000000005</v>
          </cell>
          <cell r="G684" t="str">
            <v>автолига.рф</v>
          </cell>
          <cell r="H684">
            <v>114</v>
          </cell>
          <cell r="I684">
            <v>86</v>
          </cell>
          <cell r="J684">
            <v>84.71</v>
          </cell>
        </row>
        <row r="685">
          <cell r="A685" t="str">
            <v>1K8837087B</v>
          </cell>
          <cell r="B685" t="str">
            <v xml:space="preserve">Подкладка </v>
          </cell>
          <cell r="C685" t="str">
            <v>VAG</v>
          </cell>
          <cell r="D685">
            <v>30</v>
          </cell>
          <cell r="E685">
            <v>51.22</v>
          </cell>
          <cell r="G685" t="str">
            <v>автолига.рф</v>
          </cell>
          <cell r="H685">
            <v>113</v>
          </cell>
          <cell r="I685">
            <v>39</v>
          </cell>
          <cell r="J685">
            <v>38.414999999999999</v>
          </cell>
        </row>
        <row r="686">
          <cell r="A686" t="str">
            <v>5G0886373</v>
          </cell>
          <cell r="B686" t="str">
            <v>Насадка декоративная</v>
          </cell>
          <cell r="C686" t="str">
            <v>VAG</v>
          </cell>
          <cell r="D686">
            <v>1</v>
          </cell>
          <cell r="E686">
            <v>20</v>
          </cell>
          <cell r="G686" t="str">
            <v>автолига.рф</v>
          </cell>
          <cell r="H686">
            <v>110</v>
          </cell>
          <cell r="I686">
            <v>19</v>
          </cell>
          <cell r="J686">
            <v>18.715</v>
          </cell>
        </row>
        <row r="687">
          <cell r="A687" t="str">
            <v>87756D3000</v>
          </cell>
          <cell r="B687" t="str">
            <v>Фиксатор</v>
          </cell>
          <cell r="C687" t="str">
            <v>HYUNDAI/KIA</v>
          </cell>
          <cell r="D687">
            <v>10</v>
          </cell>
          <cell r="E687">
            <v>20</v>
          </cell>
          <cell r="G687" t="str">
            <v>автолига.рф</v>
          </cell>
          <cell r="H687">
            <v>108</v>
          </cell>
          <cell r="I687">
            <v>12</v>
          </cell>
          <cell r="J687">
            <v>11.82</v>
          </cell>
        </row>
        <row r="688">
          <cell r="A688" t="str">
            <v>MU481027</v>
          </cell>
          <cell r="B688" t="str">
            <v>Пистон капота</v>
          </cell>
          <cell r="C688" t="str">
            <v>MITSUBISHI</v>
          </cell>
          <cell r="D688">
            <v>5</v>
          </cell>
          <cell r="E688">
            <v>50</v>
          </cell>
          <cell r="G688" t="str">
            <v>tatparts.ru</v>
          </cell>
          <cell r="H688">
            <v>96</v>
          </cell>
          <cell r="I688">
            <v>4</v>
          </cell>
          <cell r="J688">
            <v>3.94</v>
          </cell>
        </row>
        <row r="689">
          <cell r="A689" t="str">
            <v>MU481027</v>
          </cell>
          <cell r="B689" t="str">
            <v>Пистон капота</v>
          </cell>
          <cell r="C689" t="str">
            <v>MITSUBISHI</v>
          </cell>
          <cell r="D689">
            <v>1</v>
          </cell>
          <cell r="E689">
            <v>20</v>
          </cell>
          <cell r="G689" t="str">
            <v>tatparts.ru</v>
          </cell>
          <cell r="H689">
            <v>96</v>
          </cell>
          <cell r="I689">
            <v>4</v>
          </cell>
          <cell r="J689">
            <v>3.94</v>
          </cell>
        </row>
        <row r="690">
          <cell r="A690" t="str">
            <v>7147468919</v>
          </cell>
          <cell r="B690" t="str">
            <v>Зажим</v>
          </cell>
          <cell r="C690" t="str">
            <v>BMW</v>
          </cell>
          <cell r="D690">
            <v>2</v>
          </cell>
          <cell r="E690">
            <v>80.77</v>
          </cell>
          <cell r="G690" t="str">
            <v>автолига.рф</v>
          </cell>
          <cell r="H690">
            <v>95</v>
          </cell>
          <cell r="I690">
            <v>82</v>
          </cell>
          <cell r="J690">
            <v>80.77</v>
          </cell>
        </row>
        <row r="691">
          <cell r="A691" t="str">
            <v>7700354948</v>
          </cell>
          <cell r="B691" t="str">
            <v>Упор стекла</v>
          </cell>
          <cell r="C691" t="str">
            <v>RENAULT</v>
          </cell>
          <cell r="D691">
            <v>6</v>
          </cell>
          <cell r="E691">
            <v>15</v>
          </cell>
          <cell r="G691" t="str">
            <v>автолига.рф</v>
          </cell>
          <cell r="H691">
            <v>89</v>
          </cell>
          <cell r="I691">
            <v>12</v>
          </cell>
          <cell r="J691">
            <v>11.82</v>
          </cell>
        </row>
        <row r="692">
          <cell r="A692" t="str">
            <v>GA7B51146</v>
          </cell>
          <cell r="B692" t="str">
            <v>ВТУЛКА КРЕПЛЕНИЯ БАМПЕРА</v>
          </cell>
          <cell r="C692" t="str">
            <v>Mazda</v>
          </cell>
          <cell r="D692">
            <v>2</v>
          </cell>
          <cell r="E692">
            <v>88</v>
          </cell>
          <cell r="G692" t="str">
            <v>автолига.рф</v>
          </cell>
          <cell r="H692">
            <v>88</v>
          </cell>
          <cell r="I692">
            <v>8</v>
          </cell>
          <cell r="J692">
            <v>7.88</v>
          </cell>
        </row>
        <row r="693">
          <cell r="A693" t="str">
            <v>4A0867276B</v>
          </cell>
          <cell r="B693" t="str">
            <v>Зажим</v>
          </cell>
          <cell r="C693" t="str">
            <v>VAG</v>
          </cell>
          <cell r="D693">
            <v>3</v>
          </cell>
          <cell r="E693">
            <v>15</v>
          </cell>
          <cell r="G693" t="str">
            <v>tatparts.ru</v>
          </cell>
          <cell r="H693">
            <v>86</v>
          </cell>
          <cell r="I693">
            <v>8</v>
          </cell>
          <cell r="J693">
            <v>7.88</v>
          </cell>
        </row>
        <row r="694">
          <cell r="A694" t="str">
            <v>4A0867276B</v>
          </cell>
          <cell r="B694" t="str">
            <v>Зажим</v>
          </cell>
          <cell r="C694" t="str">
            <v>VAG</v>
          </cell>
          <cell r="D694">
            <v>1</v>
          </cell>
          <cell r="E694">
            <v>15</v>
          </cell>
          <cell r="G694" t="str">
            <v>tatparts.ru</v>
          </cell>
          <cell r="H694">
            <v>43</v>
          </cell>
          <cell r="I694">
            <v>8</v>
          </cell>
          <cell r="J694">
            <v>7.88</v>
          </cell>
        </row>
        <row r="695">
          <cell r="A695" t="str">
            <v>7D0971798</v>
          </cell>
          <cell r="B695" t="str">
            <v>Материал вспененный</v>
          </cell>
          <cell r="C695" t="str">
            <v>VAG</v>
          </cell>
          <cell r="D695">
            <v>30</v>
          </cell>
          <cell r="E695">
            <v>36.445</v>
          </cell>
          <cell r="G695" t="str">
            <v>tatparts.ru</v>
          </cell>
          <cell r="H695">
            <v>85</v>
          </cell>
          <cell r="I695">
            <v>37</v>
          </cell>
          <cell r="J695">
            <v>36.445</v>
          </cell>
        </row>
        <row r="696">
          <cell r="A696" t="str">
            <v>7D0971798</v>
          </cell>
          <cell r="B696" t="str">
            <v>Материал вспененный</v>
          </cell>
          <cell r="C696" t="str">
            <v>VAG</v>
          </cell>
          <cell r="D696">
            <v>2</v>
          </cell>
          <cell r="E696">
            <v>36.445</v>
          </cell>
          <cell r="G696" t="str">
            <v>tatparts.ru</v>
          </cell>
          <cell r="H696">
            <v>88</v>
          </cell>
          <cell r="I696">
            <v>37</v>
          </cell>
          <cell r="J696">
            <v>36.445</v>
          </cell>
        </row>
        <row r="697">
          <cell r="A697" t="str">
            <v>7D0971798</v>
          </cell>
          <cell r="B697" t="str">
            <v>Материал вспененный</v>
          </cell>
          <cell r="C697" t="str">
            <v>VAG</v>
          </cell>
          <cell r="D697">
            <v>1</v>
          </cell>
          <cell r="E697">
            <v>36.445</v>
          </cell>
          <cell r="G697" t="str">
            <v>tatparts.ru</v>
          </cell>
          <cell r="H697">
            <v>84</v>
          </cell>
          <cell r="I697">
            <v>37</v>
          </cell>
          <cell r="J697">
            <v>36.445</v>
          </cell>
        </row>
        <row r="698">
          <cell r="A698" t="str">
            <v>7D0971798</v>
          </cell>
          <cell r="B698" t="str">
            <v>Материал вспененный</v>
          </cell>
          <cell r="C698" t="str">
            <v>VAG</v>
          </cell>
          <cell r="D698">
            <v>3</v>
          </cell>
          <cell r="E698">
            <v>36.445</v>
          </cell>
          <cell r="G698" t="str">
            <v>tatparts.ru</v>
          </cell>
          <cell r="H698">
            <v>84</v>
          </cell>
          <cell r="I698">
            <v>37</v>
          </cell>
          <cell r="J698">
            <v>36.445</v>
          </cell>
        </row>
        <row r="699">
          <cell r="A699" t="str">
            <v>7D0971798</v>
          </cell>
          <cell r="B699" t="str">
            <v>Материал вспененный</v>
          </cell>
          <cell r="C699" t="str">
            <v>VAG</v>
          </cell>
          <cell r="D699">
            <v>8</v>
          </cell>
          <cell r="E699">
            <v>36.445</v>
          </cell>
          <cell r="G699" t="str">
            <v>tatparts.ru</v>
          </cell>
          <cell r="H699">
            <v>84</v>
          </cell>
          <cell r="I699">
            <v>37</v>
          </cell>
          <cell r="J699">
            <v>36.445</v>
          </cell>
        </row>
        <row r="700">
          <cell r="A700" t="str">
            <v>1H0867199A 01C</v>
          </cell>
          <cell r="B700" t="str">
            <v>Зажим</v>
          </cell>
          <cell r="C700" t="str">
            <v>VAG</v>
          </cell>
          <cell r="D700">
            <v>4</v>
          </cell>
          <cell r="E700">
            <v>84</v>
          </cell>
          <cell r="G700" t="str">
            <v>tatparts.ru</v>
          </cell>
          <cell r="H700">
            <v>84</v>
          </cell>
          <cell r="I700">
            <v>38</v>
          </cell>
          <cell r="J700">
            <v>37.43</v>
          </cell>
        </row>
        <row r="701">
          <cell r="A701" t="str">
            <v>871152F200</v>
          </cell>
          <cell r="B701" t="str">
            <v>Фиксатор заднего стекла</v>
          </cell>
          <cell r="C701" t="str">
            <v>HYUNDAI/KIA</v>
          </cell>
          <cell r="D701">
            <v>5</v>
          </cell>
          <cell r="E701">
            <v>45</v>
          </cell>
          <cell r="G701" t="str">
            <v>автолига.рф</v>
          </cell>
          <cell r="H701">
            <v>79</v>
          </cell>
          <cell r="I701">
            <v>45</v>
          </cell>
          <cell r="J701">
            <v>44.325000000000003</v>
          </cell>
        </row>
        <row r="702">
          <cell r="A702" t="str">
            <v>871152F200</v>
          </cell>
          <cell r="B702" t="str">
            <v>Фиксатор заднего стекла</v>
          </cell>
          <cell r="C702" t="str">
            <v>HYUNDAI/KIA</v>
          </cell>
          <cell r="D702">
            <v>3</v>
          </cell>
          <cell r="E702">
            <v>45</v>
          </cell>
          <cell r="G702" t="str">
            <v>автолига.рф</v>
          </cell>
          <cell r="H702">
            <v>79</v>
          </cell>
          <cell r="I702">
            <v>45</v>
          </cell>
          <cell r="J702">
            <v>44.325000000000003</v>
          </cell>
        </row>
        <row r="703">
          <cell r="A703" t="str">
            <v>WHT000869</v>
          </cell>
          <cell r="B703" t="str">
            <v>Штифт приварной</v>
          </cell>
          <cell r="C703" t="str">
            <v>VAG</v>
          </cell>
          <cell r="D703">
            <v>5</v>
          </cell>
          <cell r="E703">
            <v>36.445</v>
          </cell>
          <cell r="G703" t="str">
            <v>tatparts.ru</v>
          </cell>
          <cell r="H703">
            <v>70</v>
          </cell>
          <cell r="I703">
            <v>37</v>
          </cell>
          <cell r="J703">
            <v>36.445</v>
          </cell>
        </row>
        <row r="704">
          <cell r="A704" t="str">
            <v>866253S000</v>
          </cell>
          <cell r="B704" t="str">
            <v>Фиксатор</v>
          </cell>
          <cell r="C704" t="str">
            <v>HYUNDAI/KIA</v>
          </cell>
          <cell r="D704">
            <v>1</v>
          </cell>
          <cell r="E704">
            <v>66</v>
          </cell>
          <cell r="G704" t="str">
            <v>автолига.рф</v>
          </cell>
          <cell r="H704">
            <v>66</v>
          </cell>
          <cell r="I704">
            <v>13</v>
          </cell>
          <cell r="J704">
            <v>12.805</v>
          </cell>
        </row>
        <row r="705">
          <cell r="A705" t="str">
            <v>3CN868243</v>
          </cell>
          <cell r="B705" t="str">
            <v>Фиксатор</v>
          </cell>
          <cell r="C705" t="str">
            <v>VAG</v>
          </cell>
          <cell r="D705">
            <v>3</v>
          </cell>
          <cell r="E705">
            <v>58</v>
          </cell>
          <cell r="G705" t="str">
            <v>автолига.рф</v>
          </cell>
          <cell r="H705">
            <v>58</v>
          </cell>
          <cell r="I705">
            <v>26</v>
          </cell>
          <cell r="J705">
            <v>25.61</v>
          </cell>
        </row>
        <row r="706">
          <cell r="A706" t="str">
            <v>3CN868243</v>
          </cell>
          <cell r="B706" t="str">
            <v>Фиксатор</v>
          </cell>
          <cell r="C706" t="str">
            <v>VAG</v>
          </cell>
          <cell r="D706">
            <v>2</v>
          </cell>
          <cell r="E706">
            <v>58</v>
          </cell>
          <cell r="G706" t="str">
            <v>автолига.рф</v>
          </cell>
          <cell r="H706">
            <v>58</v>
          </cell>
          <cell r="I706">
            <v>26</v>
          </cell>
          <cell r="J706">
            <v>25.61</v>
          </cell>
        </row>
        <row r="707">
          <cell r="A707" t="str">
            <v>3CN868243</v>
          </cell>
          <cell r="B707" t="str">
            <v>Фиксатор</v>
          </cell>
          <cell r="C707" t="str">
            <v>VAG</v>
          </cell>
          <cell r="D707">
            <v>4</v>
          </cell>
          <cell r="E707">
            <v>56</v>
          </cell>
          <cell r="G707" t="str">
            <v>автолига.рф</v>
          </cell>
          <cell r="H707">
            <v>56</v>
          </cell>
          <cell r="I707">
            <v>26</v>
          </cell>
          <cell r="J707">
            <v>25.61</v>
          </cell>
        </row>
        <row r="708">
          <cell r="A708" t="str">
            <v>MU000573</v>
          </cell>
          <cell r="B708" t="str">
            <v>КЛИПСА</v>
          </cell>
          <cell r="C708" t="str">
            <v>MITSUBISHI</v>
          </cell>
          <cell r="D708">
            <v>5</v>
          </cell>
          <cell r="E708">
            <v>57</v>
          </cell>
          <cell r="G708" t="str">
            <v>автолига.рф</v>
          </cell>
          <cell r="H708">
            <v>57</v>
          </cell>
          <cell r="I708">
            <v>8</v>
          </cell>
          <cell r="J708">
            <v>7.88</v>
          </cell>
        </row>
        <row r="709">
          <cell r="A709" t="str">
            <v>MU000573</v>
          </cell>
          <cell r="B709" t="str">
            <v>КЛИПСА</v>
          </cell>
          <cell r="C709" t="str">
            <v>MITSUBISHI</v>
          </cell>
          <cell r="D709">
            <v>2</v>
          </cell>
          <cell r="E709">
            <v>57</v>
          </cell>
          <cell r="G709" t="str">
            <v>автолига.рф</v>
          </cell>
          <cell r="H709">
            <v>57</v>
          </cell>
          <cell r="I709">
            <v>8</v>
          </cell>
          <cell r="J709">
            <v>7.88</v>
          </cell>
        </row>
        <row r="710">
          <cell r="A710" t="str">
            <v>2H6805179</v>
          </cell>
          <cell r="B710" t="str">
            <v>Втулка</v>
          </cell>
          <cell r="C710" t="str">
            <v>VAG</v>
          </cell>
          <cell r="D710">
            <v>4</v>
          </cell>
          <cell r="E710">
            <v>44.325000000000003</v>
          </cell>
          <cell r="G710" t="str">
            <v>автолига.рф</v>
          </cell>
          <cell r="H710">
            <v>53</v>
          </cell>
          <cell r="I710">
            <v>45</v>
          </cell>
          <cell r="J710">
            <v>44.325000000000003</v>
          </cell>
        </row>
        <row r="711">
          <cell r="A711" t="str">
            <v>N  10414402</v>
          </cell>
          <cell r="B711" t="str">
            <v>Болт</v>
          </cell>
          <cell r="C711" t="str">
            <v>VAG</v>
          </cell>
          <cell r="D711">
            <v>14</v>
          </cell>
          <cell r="E711">
            <v>16.745000000000001</v>
          </cell>
          <cell r="G711" t="str">
            <v>tatparts.ru</v>
          </cell>
          <cell r="H711">
            <v>46</v>
          </cell>
          <cell r="I711">
            <v>17</v>
          </cell>
          <cell r="J711">
            <v>16.745000000000001</v>
          </cell>
        </row>
        <row r="712">
          <cell r="A712" t="str">
            <v>N  10414402</v>
          </cell>
          <cell r="B712" t="str">
            <v>Болт</v>
          </cell>
          <cell r="C712" t="str">
            <v>VAG</v>
          </cell>
          <cell r="D712">
            <v>1</v>
          </cell>
          <cell r="E712">
            <v>15.76</v>
          </cell>
          <cell r="G712" t="str">
            <v>автолига.рф</v>
          </cell>
          <cell r="H712">
            <v>40</v>
          </cell>
          <cell r="I712">
            <v>16</v>
          </cell>
          <cell r="J712">
            <v>15.76</v>
          </cell>
        </row>
        <row r="713">
          <cell r="A713" t="str">
            <v>866992M000</v>
          </cell>
          <cell r="B713" t="str">
            <v>Фиксатор панели бампера</v>
          </cell>
          <cell r="C713" t="str">
            <v>HYUNDAI/KIA</v>
          </cell>
          <cell r="D713">
            <v>3</v>
          </cell>
          <cell r="E713">
            <v>6.8949999999999996</v>
          </cell>
          <cell r="G713" t="str">
            <v>автолига.рф</v>
          </cell>
          <cell r="H713">
            <v>44</v>
          </cell>
          <cell r="I713">
            <v>7</v>
          </cell>
          <cell r="J713">
            <v>6.8949999999999996</v>
          </cell>
        </row>
        <row r="714">
          <cell r="A714" t="str">
            <v>866992M000</v>
          </cell>
          <cell r="B714" t="str">
            <v>Фиксатор панели бампера</v>
          </cell>
          <cell r="C714" t="str">
            <v>HYUNDAI/KIA</v>
          </cell>
          <cell r="D714">
            <v>8</v>
          </cell>
          <cell r="E714">
            <v>6.8949999999999996</v>
          </cell>
          <cell r="G714" t="str">
            <v>автолига.рф</v>
          </cell>
          <cell r="H714">
            <v>44</v>
          </cell>
          <cell r="I714">
            <v>7</v>
          </cell>
          <cell r="J714">
            <v>6.8949999999999996</v>
          </cell>
        </row>
        <row r="715">
          <cell r="A715" t="str">
            <v>9046710186</v>
          </cell>
          <cell r="B715" t="str">
            <v>Клипса</v>
          </cell>
          <cell r="C715" t="str">
            <v>TOYOTA</v>
          </cell>
          <cell r="D715">
            <v>1</v>
          </cell>
          <cell r="E715">
            <v>6.8949999999999996</v>
          </cell>
          <cell r="G715" t="str">
            <v>автолига.рф</v>
          </cell>
          <cell r="H715">
            <v>41</v>
          </cell>
          <cell r="I715">
            <v>7</v>
          </cell>
          <cell r="J715">
            <v>6.8949999999999996</v>
          </cell>
        </row>
        <row r="716">
          <cell r="A716" t="str">
            <v>52204A08D40</v>
          </cell>
          <cell r="B716" t="str">
            <v>Вставка скобы</v>
          </cell>
          <cell r="C716" t="str">
            <v>BMW</v>
          </cell>
          <cell r="D716">
            <v>8</v>
          </cell>
          <cell r="E716">
            <v>4.9249999999999998</v>
          </cell>
          <cell r="G716" t="str">
            <v>tatparts.ru</v>
          </cell>
          <cell r="H716">
            <v>36</v>
          </cell>
          <cell r="I716">
            <v>5</v>
          </cell>
          <cell r="J716">
            <v>4.9249999999999998</v>
          </cell>
        </row>
        <row r="717">
          <cell r="A717" t="str">
            <v>3C0853586</v>
          </cell>
          <cell r="B717" t="str">
            <v>Насадка</v>
          </cell>
          <cell r="C717" t="str">
            <v>VAG</v>
          </cell>
          <cell r="D717">
            <v>4</v>
          </cell>
          <cell r="E717">
            <v>35</v>
          </cell>
          <cell r="G717" t="str">
            <v>автолига.рф</v>
          </cell>
          <cell r="H717">
            <v>35</v>
          </cell>
          <cell r="I717">
            <v>7</v>
          </cell>
          <cell r="J717">
            <v>6.8949999999999996</v>
          </cell>
        </row>
        <row r="718">
          <cell r="A718" t="str">
            <v>3C0853586</v>
          </cell>
          <cell r="B718" t="str">
            <v>Насадка</v>
          </cell>
          <cell r="C718" t="str">
            <v>VAG</v>
          </cell>
          <cell r="D718">
            <v>10</v>
          </cell>
          <cell r="E718">
            <v>65</v>
          </cell>
          <cell r="G718" t="str">
            <v>автолига.рф</v>
          </cell>
          <cell r="H718">
            <v>65</v>
          </cell>
          <cell r="I718">
            <v>7</v>
          </cell>
          <cell r="J718">
            <v>6.8949999999999996</v>
          </cell>
        </row>
        <row r="719">
          <cell r="A719" t="str">
            <v>3C0853586</v>
          </cell>
          <cell r="B719" t="str">
            <v>Насадка</v>
          </cell>
          <cell r="C719" t="str">
            <v>VAG</v>
          </cell>
          <cell r="D719">
            <v>1</v>
          </cell>
          <cell r="E719">
            <v>35</v>
          </cell>
          <cell r="G719" t="str">
            <v>автолига.рф</v>
          </cell>
          <cell r="H719">
            <v>35</v>
          </cell>
          <cell r="I719">
            <v>7</v>
          </cell>
          <cell r="J719">
            <v>6.8949999999999996</v>
          </cell>
        </row>
        <row r="720">
          <cell r="A720" t="str">
            <v>6R0823347</v>
          </cell>
          <cell r="B720" t="str">
            <v>Кожух</v>
          </cell>
          <cell r="C720" t="str">
            <v>VAG</v>
          </cell>
          <cell r="D720">
            <v>19</v>
          </cell>
          <cell r="E720">
            <v>29.55</v>
          </cell>
          <cell r="G720" t="str">
            <v>автолига.рф</v>
          </cell>
          <cell r="H720">
            <v>35</v>
          </cell>
          <cell r="I720">
            <v>30</v>
          </cell>
          <cell r="J720">
            <v>29.55</v>
          </cell>
        </row>
        <row r="721">
          <cell r="A721" t="str">
            <v>866992D000</v>
          </cell>
          <cell r="B721" t="str">
            <v>Фиксатор панели бампера</v>
          </cell>
          <cell r="C721" t="str">
            <v>HYUNDAI/KIA</v>
          </cell>
          <cell r="D721">
            <v>6</v>
          </cell>
          <cell r="E721">
            <v>31</v>
          </cell>
          <cell r="G721" t="str">
            <v>автолига.рф</v>
          </cell>
          <cell r="H721">
            <v>31</v>
          </cell>
          <cell r="I721">
            <v>11</v>
          </cell>
          <cell r="J721">
            <v>10.834999999999999</v>
          </cell>
        </row>
        <row r="722">
          <cell r="A722" t="str">
            <v>866992D000</v>
          </cell>
          <cell r="B722" t="str">
            <v>Фиксатор панели бампера</v>
          </cell>
          <cell r="C722" t="str">
            <v>HYUNDAI/KIA</v>
          </cell>
          <cell r="D722">
            <v>1</v>
          </cell>
          <cell r="E722">
            <v>31</v>
          </cell>
          <cell r="G722" t="str">
            <v>автолига.рф</v>
          </cell>
          <cell r="H722">
            <v>31</v>
          </cell>
          <cell r="I722">
            <v>11</v>
          </cell>
          <cell r="J722">
            <v>10.834999999999999</v>
          </cell>
        </row>
        <row r="723">
          <cell r="A723" t="str">
            <v>866992D000</v>
          </cell>
          <cell r="B723" t="str">
            <v>Фиксатор панели бампера</v>
          </cell>
          <cell r="C723" t="str">
            <v>HYUNDAI/KIA</v>
          </cell>
          <cell r="D723">
            <v>1</v>
          </cell>
          <cell r="E723">
            <v>31</v>
          </cell>
          <cell r="G723" t="str">
            <v>автолига.рф</v>
          </cell>
          <cell r="H723">
            <v>31</v>
          </cell>
          <cell r="I723">
            <v>11</v>
          </cell>
          <cell r="J723">
            <v>10.834999999999999</v>
          </cell>
        </row>
        <row r="724">
          <cell r="A724" t="str">
            <v>2H0837722</v>
          </cell>
          <cell r="B724" t="str">
            <v>Заглушка</v>
          </cell>
          <cell r="C724" t="str">
            <v>VAG</v>
          </cell>
          <cell r="D724">
            <v>1</v>
          </cell>
          <cell r="E724">
            <v>16.745000000000001</v>
          </cell>
          <cell r="G724" t="str">
            <v>tatparts.ru</v>
          </cell>
          <cell r="H724">
            <v>30</v>
          </cell>
          <cell r="I724">
            <v>17</v>
          </cell>
          <cell r="J724">
            <v>16.745000000000001</v>
          </cell>
        </row>
        <row r="725">
          <cell r="A725" t="str">
            <v>3D0955160C</v>
          </cell>
          <cell r="B725" t="str">
            <v>Кронштейн</v>
          </cell>
          <cell r="C725" t="str">
            <v>VAG</v>
          </cell>
          <cell r="D725">
            <v>9</v>
          </cell>
          <cell r="E725">
            <v>16.745000000000001</v>
          </cell>
          <cell r="G725" t="str">
            <v>tatparts.ru</v>
          </cell>
          <cell r="H725">
            <v>30</v>
          </cell>
          <cell r="I725">
            <v>17</v>
          </cell>
          <cell r="J725">
            <v>16.745000000000001</v>
          </cell>
        </row>
        <row r="726">
          <cell r="A726" t="str">
            <v>6Q0867333</v>
          </cell>
          <cell r="B726" t="str">
            <v>Клипса</v>
          </cell>
          <cell r="C726" t="str">
            <v>VAG</v>
          </cell>
          <cell r="D726">
            <v>25</v>
          </cell>
          <cell r="E726">
            <v>30</v>
          </cell>
          <cell r="G726" t="str">
            <v>автолига.рф</v>
          </cell>
          <cell r="H726">
            <v>30</v>
          </cell>
          <cell r="I726">
            <v>6</v>
          </cell>
          <cell r="J726">
            <v>5.91</v>
          </cell>
        </row>
        <row r="727">
          <cell r="A727" t="str">
            <v>6Q0867333</v>
          </cell>
          <cell r="B727" t="str">
            <v>Клипса</v>
          </cell>
          <cell r="C727" t="str">
            <v>VAG</v>
          </cell>
          <cell r="D727">
            <v>5</v>
          </cell>
          <cell r="E727">
            <v>30</v>
          </cell>
          <cell r="G727" t="str">
            <v>автолига.рф</v>
          </cell>
          <cell r="H727">
            <v>30</v>
          </cell>
          <cell r="I727">
            <v>6</v>
          </cell>
          <cell r="J727">
            <v>5.91</v>
          </cell>
        </row>
        <row r="728">
          <cell r="A728" t="str">
            <v>6Q0867333</v>
          </cell>
          <cell r="B728" t="str">
            <v>Клипса</v>
          </cell>
          <cell r="C728" t="str">
            <v>VAG</v>
          </cell>
          <cell r="D728">
            <v>1</v>
          </cell>
          <cell r="E728">
            <v>30</v>
          </cell>
          <cell r="G728" t="str">
            <v>автолига.рф</v>
          </cell>
          <cell r="H728">
            <v>30</v>
          </cell>
          <cell r="I728">
            <v>6</v>
          </cell>
          <cell r="J728">
            <v>5.91</v>
          </cell>
        </row>
        <row r="729">
          <cell r="A729" t="str">
            <v>1Q0825750A</v>
          </cell>
          <cell r="B729" t="str">
            <v>Заглушка</v>
          </cell>
          <cell r="C729" t="str">
            <v>VAG</v>
          </cell>
          <cell r="D729">
            <v>23</v>
          </cell>
          <cell r="E729">
            <v>24.625</v>
          </cell>
          <cell r="G729" t="str">
            <v>автолига.рф</v>
          </cell>
          <cell r="H729">
            <v>26</v>
          </cell>
          <cell r="I729">
            <v>25</v>
          </cell>
          <cell r="J729">
            <v>24.625</v>
          </cell>
        </row>
        <row r="730">
          <cell r="A730" t="str">
            <v>861877399</v>
          </cell>
          <cell r="B730" t="str">
            <v>Насадка/наконечник</v>
          </cell>
          <cell r="C730" t="str">
            <v>VAG</v>
          </cell>
          <cell r="D730">
            <v>21</v>
          </cell>
          <cell r="E730">
            <v>11.82</v>
          </cell>
          <cell r="G730" t="str">
            <v>автолига.рф</v>
          </cell>
          <cell r="H730">
            <v>24</v>
          </cell>
          <cell r="I730">
            <v>12</v>
          </cell>
          <cell r="J730">
            <v>11.82</v>
          </cell>
        </row>
        <row r="731">
          <cell r="A731" t="str">
            <v>1H0823717</v>
          </cell>
          <cell r="B731" t="str">
            <v>Зажим</v>
          </cell>
          <cell r="C731" t="str">
            <v>VAG</v>
          </cell>
          <cell r="D731">
            <v>2</v>
          </cell>
          <cell r="E731">
            <v>4.9249999999999998</v>
          </cell>
          <cell r="G731" t="str">
            <v>tatparts.ru</v>
          </cell>
          <cell r="H731">
            <v>18</v>
          </cell>
          <cell r="I731">
            <v>5</v>
          </cell>
          <cell r="J731">
            <v>4.9249999999999998</v>
          </cell>
        </row>
        <row r="732">
          <cell r="A732" t="str">
            <v>1J0827713</v>
          </cell>
          <cell r="B732" t="str">
            <v>Клипса-заглушка</v>
          </cell>
          <cell r="C732" t="str">
            <v>VAG</v>
          </cell>
          <cell r="D732">
            <v>1</v>
          </cell>
          <cell r="E732">
            <v>4.9249999999999998</v>
          </cell>
          <cell r="G732" t="str">
            <v>автолига.рф</v>
          </cell>
          <cell r="H732">
            <v>18</v>
          </cell>
          <cell r="I732">
            <v>5</v>
          </cell>
          <cell r="J732">
            <v>4.9249999999999998</v>
          </cell>
        </row>
        <row r="733">
          <cell r="A733" t="str">
            <v>1J0827713</v>
          </cell>
          <cell r="B733" t="str">
            <v>Клипса-заглушка</v>
          </cell>
          <cell r="C733" t="str">
            <v>VAG</v>
          </cell>
          <cell r="D733">
            <v>3</v>
          </cell>
          <cell r="E733">
            <v>4.9249999999999998</v>
          </cell>
          <cell r="G733" t="str">
            <v>автолига.рф</v>
          </cell>
          <cell r="H733">
            <v>9</v>
          </cell>
          <cell r="I733">
            <v>5</v>
          </cell>
          <cell r="J733">
            <v>4.9249999999999998</v>
          </cell>
        </row>
        <row r="734">
          <cell r="A734" t="str">
            <v>8691021010</v>
          </cell>
          <cell r="B734" t="str">
            <v>Фиксатор панели бампера</v>
          </cell>
          <cell r="C734" t="str">
            <v>HYUNDAI/KIA</v>
          </cell>
          <cell r="D734">
            <v>5</v>
          </cell>
          <cell r="E734">
            <v>8.8650000000000002</v>
          </cell>
          <cell r="G734" t="str">
            <v>tatparts.ru</v>
          </cell>
          <cell r="H734">
            <v>18</v>
          </cell>
          <cell r="I734">
            <v>9</v>
          </cell>
          <cell r="J734">
            <v>8.8650000000000002</v>
          </cell>
        </row>
        <row r="735">
          <cell r="A735" t="str">
            <v>21179114403400</v>
          </cell>
          <cell r="B735" t="str">
            <v>Вставка</v>
          </cell>
          <cell r="C735" t="str">
            <v>LADA</v>
          </cell>
          <cell r="D735">
            <v>1</v>
          </cell>
          <cell r="E735">
            <v>5</v>
          </cell>
          <cell r="G735" t="str">
            <v>tatparts.ru</v>
          </cell>
          <cell r="H735">
            <v>7</v>
          </cell>
          <cell r="I735">
            <v>4</v>
          </cell>
          <cell r="J735">
            <v>3.94</v>
          </cell>
        </row>
        <row r="736">
          <cell r="A736" t="str">
            <v>21101110428640</v>
          </cell>
          <cell r="B736" t="str">
            <v>Облицовка защитная</v>
          </cell>
          <cell r="C736" t="str">
            <v>LADA</v>
          </cell>
          <cell r="D736">
            <v>1</v>
          </cell>
          <cell r="E736">
            <v>2.9550000000000001</v>
          </cell>
          <cell r="G736" t="str">
            <v>tatparts.ru</v>
          </cell>
          <cell r="H736">
            <v>4</v>
          </cell>
          <cell r="I736">
            <v>3</v>
          </cell>
          <cell r="J736">
            <v>2.9550000000000001</v>
          </cell>
        </row>
        <row r="737">
          <cell r="A737" t="str">
            <v>21101110428640</v>
          </cell>
          <cell r="B737" t="str">
            <v>Облицовка защитная</v>
          </cell>
          <cell r="C737" t="str">
            <v>LADA</v>
          </cell>
          <cell r="D737">
            <v>3</v>
          </cell>
          <cell r="E737">
            <v>4</v>
          </cell>
          <cell r="G737" t="str">
            <v>tatparts.ru</v>
          </cell>
          <cell r="H737">
            <v>4</v>
          </cell>
          <cell r="I737">
            <v>3</v>
          </cell>
          <cell r="J737">
            <v>2.9550000000000001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O1207"/>
  <sheetViews>
    <sheetView showGridLines="0" showZeros="0" tabSelected="1" workbookViewId="0">
      <pane xSplit="7" ySplit="2" topLeftCell="H3" activePane="bottomRight" state="frozen"/>
      <selection pane="topRight"/>
      <selection pane="bottomLeft"/>
      <selection pane="bottomRight" activeCell="I3" sqref="I3"/>
    </sheetView>
  </sheetViews>
  <sheetFormatPr defaultColWidth="12.140625" defaultRowHeight="14.25" customHeight="1" x14ac:dyDescent="0.25"/>
  <cols>
    <col min="2" max="2" width="17.5703125" style="5" customWidth="1"/>
    <col min="3" max="3" width="21.42578125" style="1" customWidth="1"/>
    <col min="4" max="4" width="6.42578125" style="2" customWidth="1"/>
    <col min="5" max="5" width="11.42578125" customWidth="1"/>
    <col min="6" max="6" width="12.28515625" customWidth="1"/>
    <col min="7" max="7" width="4.85546875" style="3" customWidth="1"/>
    <col min="8" max="8" width="11.28515625" customWidth="1"/>
    <col min="9" max="9" width="26.28515625" style="6" customWidth="1"/>
    <col min="10" max="10" width="14.28515625" style="6" customWidth="1"/>
    <col min="11" max="13" width="11.28515625" customWidth="1"/>
    <col min="14" max="14" width="9.140625" customWidth="1"/>
    <col min="15" max="15" width="74.140625" customWidth="1"/>
  </cols>
  <sheetData>
    <row r="2" spans="1:15" ht="15" x14ac:dyDescent="0.25">
      <c r="B2" s="4" t="s">
        <v>0</v>
      </c>
      <c r="C2" s="9" t="s">
        <v>1038</v>
      </c>
      <c r="D2" s="10" t="s">
        <v>1</v>
      </c>
      <c r="E2" s="11" t="s">
        <v>2</v>
      </c>
      <c r="F2" s="11" t="s">
        <v>1034</v>
      </c>
      <c r="G2" s="12" t="s">
        <v>3</v>
      </c>
      <c r="H2" s="11" t="s">
        <v>1039</v>
      </c>
      <c r="I2" s="28" t="s">
        <v>1869</v>
      </c>
      <c r="J2" s="28" t="s">
        <v>1868</v>
      </c>
      <c r="K2" s="27"/>
      <c r="L2" s="27"/>
      <c r="M2" s="27"/>
    </row>
    <row r="3" spans="1:15" ht="15" x14ac:dyDescent="0.25">
      <c r="A3">
        <v>1</v>
      </c>
      <c r="B3" s="7" t="s">
        <v>4</v>
      </c>
      <c r="C3" s="13" t="s">
        <v>1040</v>
      </c>
      <c r="D3" s="14" t="s">
        <v>5</v>
      </c>
      <c r="E3" s="15">
        <v>35</v>
      </c>
      <c r="F3" s="16">
        <v>16</v>
      </c>
      <c r="G3" s="17" t="s">
        <v>6</v>
      </c>
      <c r="H3" s="18">
        <v>140</v>
      </c>
      <c r="I3" s="19"/>
      <c r="J3" s="19">
        <v>35.35</v>
      </c>
      <c r="K3" s="19">
        <f t="shared" ref="K3:K66" si="0">J3-E3</f>
        <v>0.35000000000000142</v>
      </c>
      <c r="L3" s="18"/>
      <c r="M3" s="18"/>
      <c r="N3" s="18"/>
      <c r="O3" s="18" t="s">
        <v>1035</v>
      </c>
    </row>
    <row r="4" spans="1:15" ht="15" x14ac:dyDescent="0.25">
      <c r="A4">
        <v>2</v>
      </c>
      <c r="B4" s="8" t="s">
        <v>7</v>
      </c>
      <c r="C4" s="21" t="s">
        <v>1041</v>
      </c>
      <c r="D4" s="22" t="s">
        <v>8</v>
      </c>
      <c r="E4" s="15">
        <v>35</v>
      </c>
      <c r="F4" s="23">
        <v>10.46</v>
      </c>
      <c r="G4" s="24" t="s">
        <v>9</v>
      </c>
      <c r="H4" s="18">
        <v>2</v>
      </c>
      <c r="I4" s="19">
        <f>VLOOKUP(B4,[1]Лист2!$A:$J,10,0)</f>
        <v>6.8949999999999996</v>
      </c>
      <c r="J4" s="19">
        <v>25</v>
      </c>
      <c r="K4" s="19">
        <f t="shared" si="0"/>
        <v>-10</v>
      </c>
      <c r="L4" s="18"/>
      <c r="M4" s="18"/>
      <c r="N4" s="18"/>
      <c r="O4" s="18" t="s">
        <v>1035</v>
      </c>
    </row>
    <row r="5" spans="1:15" ht="15" x14ac:dyDescent="0.25">
      <c r="A5">
        <v>3</v>
      </c>
      <c r="B5" s="7" t="s">
        <v>10</v>
      </c>
      <c r="C5" s="13" t="s">
        <v>1042</v>
      </c>
      <c r="D5" s="14" t="s">
        <v>8</v>
      </c>
      <c r="E5" s="16">
        <v>978</v>
      </c>
      <c r="F5" s="15">
        <v>1617.22</v>
      </c>
      <c r="G5" s="17" t="s">
        <v>11</v>
      </c>
      <c r="H5" s="18">
        <v>3</v>
      </c>
      <c r="I5" s="19"/>
      <c r="J5" s="19">
        <v>1552.5311999999999</v>
      </c>
      <c r="K5" s="19">
        <f t="shared" si="0"/>
        <v>574.5311999999999</v>
      </c>
      <c r="L5" s="18"/>
      <c r="M5" s="18"/>
      <c r="N5" s="18"/>
      <c r="O5" s="18" t="s">
        <v>1035</v>
      </c>
    </row>
    <row r="6" spans="1:15" ht="15" x14ac:dyDescent="0.25">
      <c r="A6">
        <v>4</v>
      </c>
      <c r="B6" s="8" t="s">
        <v>12</v>
      </c>
      <c r="C6" s="21" t="s">
        <v>1043</v>
      </c>
      <c r="D6" s="22" t="s">
        <v>8</v>
      </c>
      <c r="E6" s="23">
        <v>550</v>
      </c>
      <c r="F6" s="15">
        <v>583</v>
      </c>
      <c r="G6" s="24" t="s">
        <v>6</v>
      </c>
      <c r="H6" s="18">
        <v>1</v>
      </c>
      <c r="I6" s="19"/>
      <c r="J6" s="19">
        <v>559.67999999999995</v>
      </c>
      <c r="K6" s="19">
        <f t="shared" si="0"/>
        <v>9.67999999999995</v>
      </c>
      <c r="L6" s="18"/>
      <c r="M6" s="18"/>
      <c r="N6" s="18"/>
      <c r="O6" s="18" t="s">
        <v>1035</v>
      </c>
    </row>
    <row r="7" spans="1:15" ht="15" x14ac:dyDescent="0.25">
      <c r="A7">
        <v>5</v>
      </c>
      <c r="B7" s="7" t="s">
        <v>13</v>
      </c>
      <c r="C7" s="13" t="s">
        <v>1044</v>
      </c>
      <c r="D7" s="14" t="s">
        <v>14</v>
      </c>
      <c r="E7" s="16">
        <v>814</v>
      </c>
      <c r="F7" s="15">
        <v>1418.77</v>
      </c>
      <c r="G7" s="17" t="s">
        <v>11</v>
      </c>
      <c r="H7" s="18">
        <v>3</v>
      </c>
      <c r="I7" s="19"/>
      <c r="J7" s="19">
        <v>1362.0192</v>
      </c>
      <c r="K7" s="19">
        <f t="shared" si="0"/>
        <v>548.01919999999996</v>
      </c>
      <c r="L7" s="18"/>
      <c r="M7" s="18"/>
      <c r="N7" s="18"/>
      <c r="O7" s="18" t="s">
        <v>1035</v>
      </c>
    </row>
    <row r="8" spans="1:15" ht="15" x14ac:dyDescent="0.25">
      <c r="A8">
        <v>6</v>
      </c>
      <c r="B8" s="8" t="s">
        <v>15</v>
      </c>
      <c r="C8" s="21" t="s">
        <v>1045</v>
      </c>
      <c r="D8" s="22" t="s">
        <v>16</v>
      </c>
      <c r="E8" s="23">
        <v>59000</v>
      </c>
      <c r="F8" s="15">
        <v>67450.95</v>
      </c>
      <c r="G8" s="24" t="s">
        <v>11</v>
      </c>
      <c r="H8" s="18">
        <v>10</v>
      </c>
      <c r="I8" s="19"/>
      <c r="J8" s="19">
        <v>63753</v>
      </c>
      <c r="K8" s="19">
        <f t="shared" si="0"/>
        <v>4753</v>
      </c>
      <c r="L8" s="18"/>
      <c r="M8" s="18"/>
      <c r="N8" s="18"/>
      <c r="O8" s="18" t="s">
        <v>1035</v>
      </c>
    </row>
    <row r="9" spans="1:15" ht="15" x14ac:dyDescent="0.25">
      <c r="A9">
        <v>7</v>
      </c>
      <c r="B9" s="7" t="s">
        <v>17</v>
      </c>
      <c r="C9" s="13" t="s">
        <v>1046</v>
      </c>
      <c r="D9" s="14" t="s">
        <v>18</v>
      </c>
      <c r="E9" s="15">
        <v>18198</v>
      </c>
      <c r="F9" s="16">
        <v>12787</v>
      </c>
      <c r="G9" s="17" t="s">
        <v>6</v>
      </c>
      <c r="H9" s="18">
        <v>1</v>
      </c>
      <c r="I9" s="19">
        <f>VLOOKUP(B9,[1]Лист2!$A:$J,10,0)</f>
        <v>13003.97</v>
      </c>
      <c r="J9" s="29">
        <v>13134.009699999999</v>
      </c>
      <c r="K9" s="19">
        <f t="shared" si="0"/>
        <v>-5063.9903000000013</v>
      </c>
      <c r="L9" s="18"/>
      <c r="M9" s="18"/>
      <c r="N9" s="18"/>
      <c r="O9" s="18" t="s">
        <v>1035</v>
      </c>
    </row>
    <row r="10" spans="1:15" ht="15" x14ac:dyDescent="0.25">
      <c r="A10">
        <v>8</v>
      </c>
      <c r="B10" s="8" t="s">
        <v>19</v>
      </c>
      <c r="C10" s="21" t="s">
        <v>1047</v>
      </c>
      <c r="D10" s="22" t="s">
        <v>20</v>
      </c>
      <c r="E10" s="15">
        <v>11145</v>
      </c>
      <c r="F10" s="23">
        <v>7434</v>
      </c>
      <c r="G10" s="24" t="s">
        <v>6</v>
      </c>
      <c r="H10" s="18">
        <v>1</v>
      </c>
      <c r="I10" s="19"/>
      <c r="J10" s="19">
        <v>11256.45</v>
      </c>
      <c r="K10" s="19">
        <f t="shared" si="0"/>
        <v>111.45000000000073</v>
      </c>
      <c r="L10" s="18"/>
      <c r="M10" s="18"/>
      <c r="N10" s="18"/>
      <c r="O10" s="18" t="s">
        <v>1035</v>
      </c>
    </row>
    <row r="11" spans="1:15" ht="15" x14ac:dyDescent="0.25">
      <c r="A11">
        <v>9</v>
      </c>
      <c r="B11" s="7" t="s">
        <v>21</v>
      </c>
      <c r="C11" s="13" t="s">
        <v>1048</v>
      </c>
      <c r="D11" s="14" t="s">
        <v>22</v>
      </c>
      <c r="E11" s="16">
        <v>6507</v>
      </c>
      <c r="F11" s="15">
        <v>9326</v>
      </c>
      <c r="G11" s="17" t="s">
        <v>6</v>
      </c>
      <c r="H11" s="18">
        <v>1</v>
      </c>
      <c r="I11" s="19">
        <f>VLOOKUP(B11,[1]Лист2!$A:$J,10,0)</f>
        <v>4695.4949999999999</v>
      </c>
      <c r="J11" s="19">
        <v>8952.9599999999991</v>
      </c>
      <c r="K11" s="19">
        <f t="shared" si="0"/>
        <v>2445.9599999999991</v>
      </c>
      <c r="L11" s="18"/>
      <c r="M11" s="18"/>
      <c r="N11" s="18"/>
      <c r="O11" s="18" t="s">
        <v>1035</v>
      </c>
    </row>
    <row r="12" spans="1:15" ht="15" x14ac:dyDescent="0.25">
      <c r="A12">
        <v>10</v>
      </c>
      <c r="B12" s="8" t="s">
        <v>23</v>
      </c>
      <c r="C12" s="21" t="s">
        <v>1049</v>
      </c>
      <c r="D12" s="22" t="s">
        <v>24</v>
      </c>
      <c r="E12" s="15">
        <v>2352</v>
      </c>
      <c r="F12" s="23">
        <v>565</v>
      </c>
      <c r="G12" s="24" t="s">
        <v>6</v>
      </c>
      <c r="H12" s="18">
        <v>1</v>
      </c>
      <c r="I12" s="19">
        <f>VLOOKUP(B12,[1]Лист2!$A:$J,10,0)</f>
        <v>1226.325</v>
      </c>
      <c r="J12" s="29">
        <v>1238.58825</v>
      </c>
      <c r="K12" s="19">
        <f t="shared" si="0"/>
        <v>-1113.41175</v>
      </c>
      <c r="L12" s="18"/>
      <c r="M12" s="18"/>
      <c r="N12" s="18"/>
      <c r="O12" s="18" t="s">
        <v>1035</v>
      </c>
    </row>
    <row r="13" spans="1:15" ht="15" x14ac:dyDescent="0.25">
      <c r="A13">
        <v>11</v>
      </c>
      <c r="B13" s="7" t="s">
        <v>25</v>
      </c>
      <c r="C13" s="13" t="s">
        <v>1045</v>
      </c>
      <c r="D13" s="14" t="s">
        <v>16</v>
      </c>
      <c r="E13" s="15">
        <v>52000</v>
      </c>
      <c r="F13" s="16">
        <v>33587</v>
      </c>
      <c r="G13" s="17" t="s">
        <v>6</v>
      </c>
      <c r="H13" s="18">
        <v>1</v>
      </c>
      <c r="I13" s="19">
        <f>VLOOKUP(B13,[1]Лист2!$A:$J,10,0)</f>
        <v>42509.644999999997</v>
      </c>
      <c r="J13" s="29">
        <v>42934.741449999994</v>
      </c>
      <c r="K13" s="19">
        <f t="shared" si="0"/>
        <v>-9065.2585500000059</v>
      </c>
      <c r="L13" s="18"/>
      <c r="M13" s="18"/>
      <c r="N13" s="18"/>
      <c r="O13" s="18" t="s">
        <v>1035</v>
      </c>
    </row>
    <row r="14" spans="1:15" ht="15" x14ac:dyDescent="0.25">
      <c r="A14">
        <v>12</v>
      </c>
      <c r="B14" s="8" t="s">
        <v>26</v>
      </c>
      <c r="C14" s="21" t="s">
        <v>1050</v>
      </c>
      <c r="D14" s="22" t="s">
        <v>16</v>
      </c>
      <c r="E14" s="15">
        <v>130000</v>
      </c>
      <c r="F14" s="23">
        <v>110535.23</v>
      </c>
      <c r="G14" s="24" t="s">
        <v>11</v>
      </c>
      <c r="H14" s="18">
        <v>3</v>
      </c>
      <c r="I14" s="19">
        <f>VLOOKUP(B14,[1]Лист2!$A:$J,10,0)</f>
        <v>103587.52499999999</v>
      </c>
      <c r="J14" s="29">
        <v>106113.82079999999</v>
      </c>
      <c r="K14" s="19">
        <f t="shared" si="0"/>
        <v>-23886.179200000013</v>
      </c>
      <c r="L14" s="18"/>
      <c r="M14" s="18"/>
      <c r="N14" s="18"/>
      <c r="O14" s="18" t="s">
        <v>1035</v>
      </c>
    </row>
    <row r="15" spans="1:15" ht="15" x14ac:dyDescent="0.25">
      <c r="A15">
        <v>13</v>
      </c>
      <c r="B15" s="7" t="s">
        <v>27</v>
      </c>
      <c r="C15" s="13" t="s">
        <v>1051</v>
      </c>
      <c r="D15" s="14" t="s">
        <v>16</v>
      </c>
      <c r="E15" s="15">
        <v>7162</v>
      </c>
      <c r="F15" s="16">
        <v>5137</v>
      </c>
      <c r="G15" s="17" t="s">
        <v>6</v>
      </c>
      <c r="H15" s="18">
        <v>1</v>
      </c>
      <c r="I15" s="19"/>
      <c r="J15" s="29">
        <v>7233.62</v>
      </c>
      <c r="K15" s="19">
        <f t="shared" si="0"/>
        <v>71.619999999999891</v>
      </c>
      <c r="L15" s="18"/>
      <c r="M15" s="18"/>
      <c r="N15" s="18"/>
      <c r="O15" s="18" t="s">
        <v>1035</v>
      </c>
    </row>
    <row r="16" spans="1:15" ht="15" x14ac:dyDescent="0.25">
      <c r="A16">
        <v>14</v>
      </c>
      <c r="B16" s="8" t="s">
        <v>28</v>
      </c>
      <c r="C16" s="21" t="s">
        <v>1052</v>
      </c>
      <c r="D16" s="22" t="s">
        <v>29</v>
      </c>
      <c r="E16" s="15">
        <v>14302</v>
      </c>
      <c r="F16" s="23">
        <v>2131</v>
      </c>
      <c r="G16" s="24" t="s">
        <v>6</v>
      </c>
      <c r="H16" s="18">
        <v>1</v>
      </c>
      <c r="I16" s="19"/>
      <c r="J16" s="19">
        <v>14445.02</v>
      </c>
      <c r="K16" s="19">
        <f t="shared" si="0"/>
        <v>143.02000000000044</v>
      </c>
      <c r="L16" s="18"/>
      <c r="M16" s="18"/>
      <c r="N16" s="18"/>
      <c r="O16" s="18" t="s">
        <v>1035</v>
      </c>
    </row>
    <row r="17" spans="1:15" ht="15" x14ac:dyDescent="0.25">
      <c r="A17">
        <v>15</v>
      </c>
      <c r="B17" s="7" t="s">
        <v>30</v>
      </c>
      <c r="C17" s="13" t="s">
        <v>1053</v>
      </c>
      <c r="D17" s="14" t="s">
        <v>24</v>
      </c>
      <c r="E17" s="16">
        <v>1263</v>
      </c>
      <c r="F17" s="15">
        <v>2026</v>
      </c>
      <c r="G17" s="17" t="s">
        <v>6</v>
      </c>
      <c r="H17" s="18">
        <v>16</v>
      </c>
      <c r="I17" s="19">
        <f>VLOOKUP(B17,[1]Лист2!$A:$J,10,0)</f>
        <v>2448.71</v>
      </c>
      <c r="J17" s="29">
        <v>2473.1970999999999</v>
      </c>
      <c r="K17" s="19">
        <f t="shared" si="0"/>
        <v>1210.1970999999999</v>
      </c>
      <c r="L17" s="18"/>
      <c r="M17" s="18"/>
      <c r="N17" s="18"/>
      <c r="O17" s="18" t="s">
        <v>1035</v>
      </c>
    </row>
    <row r="18" spans="1:15" ht="15" x14ac:dyDescent="0.25">
      <c r="A18">
        <v>16</v>
      </c>
      <c r="B18" s="8" t="s">
        <v>30</v>
      </c>
      <c r="C18" s="21" t="s">
        <v>1053</v>
      </c>
      <c r="D18" s="22" t="s">
        <v>24</v>
      </c>
      <c r="E18" s="15">
        <v>3874</v>
      </c>
      <c r="F18" s="23">
        <v>2026</v>
      </c>
      <c r="G18" s="24" t="s">
        <v>6</v>
      </c>
      <c r="H18" s="18">
        <v>7</v>
      </c>
      <c r="I18" s="19">
        <f>VLOOKUP(B18,[1]Лист2!$A:$J,10,0)</f>
        <v>2448.71</v>
      </c>
      <c r="J18" s="29">
        <v>2473.1970999999999</v>
      </c>
      <c r="K18" s="19">
        <f t="shared" si="0"/>
        <v>-1400.8029000000001</v>
      </c>
      <c r="L18" s="18"/>
      <c r="M18" s="18"/>
      <c r="N18" s="18"/>
      <c r="O18" s="18" t="s">
        <v>1035</v>
      </c>
    </row>
    <row r="19" spans="1:15" ht="15" x14ac:dyDescent="0.25">
      <c r="A19">
        <v>17</v>
      </c>
      <c r="B19" s="7" t="s">
        <v>31</v>
      </c>
      <c r="C19" s="13" t="s">
        <v>1054</v>
      </c>
      <c r="D19" s="14" t="s">
        <v>5</v>
      </c>
      <c r="E19" s="15">
        <v>9699</v>
      </c>
      <c r="F19" s="16">
        <v>9140</v>
      </c>
      <c r="G19" s="17" t="s">
        <v>6</v>
      </c>
      <c r="H19" s="18">
        <v>1</v>
      </c>
      <c r="I19" s="19"/>
      <c r="J19" s="19">
        <v>9795.99</v>
      </c>
      <c r="K19" s="19">
        <f t="shared" si="0"/>
        <v>96.989999999999782</v>
      </c>
      <c r="L19" s="18"/>
      <c r="M19" s="18"/>
      <c r="N19" s="18"/>
      <c r="O19" s="18" t="s">
        <v>1035</v>
      </c>
    </row>
    <row r="20" spans="1:15" ht="15" x14ac:dyDescent="0.25">
      <c r="A20">
        <v>18</v>
      </c>
      <c r="B20" s="8" t="s">
        <v>32</v>
      </c>
      <c r="C20" s="21" t="s">
        <v>1055</v>
      </c>
      <c r="D20" s="22" t="s">
        <v>8</v>
      </c>
      <c r="E20" s="23">
        <v>1029</v>
      </c>
      <c r="F20" s="15">
        <v>1373</v>
      </c>
      <c r="G20" s="24" t="s">
        <v>6</v>
      </c>
      <c r="H20" s="18">
        <v>1</v>
      </c>
      <c r="I20" s="19"/>
      <c r="J20" s="19">
        <v>1318.08</v>
      </c>
      <c r="K20" s="19">
        <f t="shared" si="0"/>
        <v>289.07999999999993</v>
      </c>
      <c r="L20" s="18"/>
      <c r="M20" s="18"/>
      <c r="N20" s="18"/>
      <c r="O20" s="18" t="s">
        <v>1035</v>
      </c>
    </row>
    <row r="21" spans="1:15" ht="15" x14ac:dyDescent="0.25">
      <c r="A21">
        <v>19</v>
      </c>
      <c r="B21" s="7" t="s">
        <v>33</v>
      </c>
      <c r="C21" s="13" t="s">
        <v>1056</v>
      </c>
      <c r="D21" s="14" t="s">
        <v>8</v>
      </c>
      <c r="E21" s="16">
        <v>1035</v>
      </c>
      <c r="F21" s="15">
        <v>1373</v>
      </c>
      <c r="G21" s="17" t="s">
        <v>6</v>
      </c>
      <c r="H21" s="18">
        <v>3</v>
      </c>
      <c r="I21" s="19"/>
      <c r="J21" s="19">
        <v>1318.08</v>
      </c>
      <c r="K21" s="19">
        <f t="shared" si="0"/>
        <v>283.07999999999993</v>
      </c>
      <c r="L21" s="18"/>
      <c r="M21" s="18"/>
      <c r="N21" s="18"/>
      <c r="O21" s="18" t="s">
        <v>1035</v>
      </c>
    </row>
    <row r="22" spans="1:15" ht="15" x14ac:dyDescent="0.25">
      <c r="A22">
        <v>20</v>
      </c>
      <c r="B22" s="8" t="s">
        <v>34</v>
      </c>
      <c r="C22" s="21" t="s">
        <v>1057</v>
      </c>
      <c r="D22" s="22" t="s">
        <v>8</v>
      </c>
      <c r="E22" s="23">
        <v>1031</v>
      </c>
      <c r="F22" s="15">
        <v>1395</v>
      </c>
      <c r="G22" s="24" t="s">
        <v>6</v>
      </c>
      <c r="H22" s="18">
        <v>4</v>
      </c>
      <c r="I22" s="19"/>
      <c r="J22" s="19">
        <v>1339.2</v>
      </c>
      <c r="K22" s="19">
        <f t="shared" si="0"/>
        <v>308.20000000000005</v>
      </c>
      <c r="L22" s="18"/>
      <c r="M22" s="18"/>
      <c r="N22" s="18"/>
      <c r="O22" s="18" t="s">
        <v>1035</v>
      </c>
    </row>
    <row r="23" spans="1:15" ht="15" x14ac:dyDescent="0.25">
      <c r="A23">
        <v>21</v>
      </c>
      <c r="B23" s="7" t="s">
        <v>35</v>
      </c>
      <c r="C23" s="13" t="s">
        <v>1058</v>
      </c>
      <c r="D23" s="14" t="s">
        <v>22</v>
      </c>
      <c r="E23" s="16">
        <v>3731</v>
      </c>
      <c r="F23" s="15">
        <v>9086</v>
      </c>
      <c r="G23" s="17" t="s">
        <v>6</v>
      </c>
      <c r="H23" s="18">
        <v>1</v>
      </c>
      <c r="I23" s="19"/>
      <c r="J23" s="19">
        <v>4850</v>
      </c>
      <c r="K23" s="19">
        <f t="shared" si="0"/>
        <v>1119</v>
      </c>
      <c r="L23" s="18"/>
      <c r="M23" s="18"/>
      <c r="N23" s="18"/>
      <c r="O23" s="18" t="s">
        <v>1035</v>
      </c>
    </row>
    <row r="24" spans="1:15" ht="15" x14ac:dyDescent="0.25">
      <c r="A24">
        <v>22</v>
      </c>
      <c r="B24" s="8" t="s">
        <v>36</v>
      </c>
      <c r="C24" s="21" t="s">
        <v>1059</v>
      </c>
      <c r="D24" s="22" t="s">
        <v>37</v>
      </c>
      <c r="E24" s="23">
        <v>12894</v>
      </c>
      <c r="F24" s="23">
        <v>12894</v>
      </c>
      <c r="G24" s="25"/>
      <c r="H24" s="18">
        <v>1</v>
      </c>
      <c r="I24" s="19"/>
      <c r="J24" s="19">
        <v>13022.94</v>
      </c>
      <c r="K24" s="19">
        <f t="shared" si="0"/>
        <v>128.94000000000051</v>
      </c>
      <c r="L24" s="18"/>
      <c r="M24" s="18"/>
      <c r="N24" s="18"/>
      <c r="O24" s="18" t="s">
        <v>1035</v>
      </c>
    </row>
    <row r="25" spans="1:15" ht="15" x14ac:dyDescent="0.25">
      <c r="A25">
        <v>23</v>
      </c>
      <c r="B25" s="7" t="s">
        <v>38</v>
      </c>
      <c r="C25" s="13" t="s">
        <v>1060</v>
      </c>
      <c r="D25" s="14" t="s">
        <v>8</v>
      </c>
      <c r="E25" s="16">
        <v>13887</v>
      </c>
      <c r="F25" s="15">
        <v>14759</v>
      </c>
      <c r="G25" s="17" t="s">
        <v>6</v>
      </c>
      <c r="H25" s="18">
        <v>1</v>
      </c>
      <c r="I25" s="19"/>
      <c r="J25" s="19">
        <v>14168.64</v>
      </c>
      <c r="K25" s="19">
        <f t="shared" si="0"/>
        <v>281.63999999999942</v>
      </c>
      <c r="L25" s="18"/>
      <c r="M25" s="18"/>
      <c r="N25" s="18"/>
      <c r="O25" s="18" t="s">
        <v>1035</v>
      </c>
    </row>
    <row r="26" spans="1:15" ht="15" x14ac:dyDescent="0.25">
      <c r="A26">
        <v>24</v>
      </c>
      <c r="B26" s="8" t="s">
        <v>39</v>
      </c>
      <c r="C26" s="21" t="s">
        <v>1061</v>
      </c>
      <c r="D26" s="22" t="s">
        <v>14</v>
      </c>
      <c r="E26" s="23">
        <v>3011</v>
      </c>
      <c r="F26" s="23">
        <v>3011</v>
      </c>
      <c r="G26" s="25"/>
      <c r="H26" s="18">
        <v>1</v>
      </c>
      <c r="I26" s="19"/>
      <c r="J26" s="19">
        <v>3041.11</v>
      </c>
      <c r="K26" s="19">
        <f t="shared" si="0"/>
        <v>30.110000000000127</v>
      </c>
      <c r="L26" s="18"/>
      <c r="M26" s="18"/>
      <c r="N26" s="18"/>
      <c r="O26" s="18" t="s">
        <v>1035</v>
      </c>
    </row>
    <row r="27" spans="1:15" ht="15" x14ac:dyDescent="0.25">
      <c r="A27">
        <v>25</v>
      </c>
      <c r="B27" s="7" t="s">
        <v>40</v>
      </c>
      <c r="C27" s="13" t="s">
        <v>1062</v>
      </c>
      <c r="D27" s="14" t="s">
        <v>14</v>
      </c>
      <c r="E27" s="15">
        <v>22197</v>
      </c>
      <c r="F27" s="16">
        <v>1937</v>
      </c>
      <c r="G27" s="17" t="s">
        <v>6</v>
      </c>
      <c r="H27" s="18">
        <v>1</v>
      </c>
      <c r="I27" s="19">
        <f>VLOOKUP(B27,[1]Лист2!$A:$J,10,0)</f>
        <v>2923.48</v>
      </c>
      <c r="J27" s="19">
        <v>10589</v>
      </c>
      <c r="K27" s="19">
        <f t="shared" si="0"/>
        <v>-11608</v>
      </c>
      <c r="L27" s="18"/>
      <c r="M27" s="18"/>
      <c r="N27" s="18"/>
      <c r="O27" s="18" t="s">
        <v>1035</v>
      </c>
    </row>
    <row r="28" spans="1:15" ht="15" x14ac:dyDescent="0.25">
      <c r="A28">
        <v>26</v>
      </c>
      <c r="B28" s="8" t="s">
        <v>41</v>
      </c>
      <c r="C28" s="21" t="s">
        <v>1063</v>
      </c>
      <c r="D28" s="22" t="s">
        <v>14</v>
      </c>
      <c r="E28" s="23">
        <v>62461</v>
      </c>
      <c r="F28" s="15">
        <v>91713</v>
      </c>
      <c r="G28" s="24" t="s">
        <v>6</v>
      </c>
      <c r="H28" s="18">
        <v>1</v>
      </c>
      <c r="I28" s="19"/>
      <c r="J28" s="19">
        <v>75500</v>
      </c>
      <c r="K28" s="19">
        <f t="shared" si="0"/>
        <v>13039</v>
      </c>
      <c r="L28" s="18"/>
      <c r="M28" s="18"/>
      <c r="N28" s="18"/>
      <c r="O28" s="18" t="s">
        <v>1035</v>
      </c>
    </row>
    <row r="29" spans="1:15" ht="15" x14ac:dyDescent="0.25">
      <c r="A29">
        <v>27</v>
      </c>
      <c r="B29" s="7" t="s">
        <v>42</v>
      </c>
      <c r="C29" s="13" t="s">
        <v>1064</v>
      </c>
      <c r="D29" s="14" t="s">
        <v>14</v>
      </c>
      <c r="E29" s="16">
        <v>11846</v>
      </c>
      <c r="F29" s="15">
        <v>19314.41</v>
      </c>
      <c r="G29" s="17" t="s">
        <v>11</v>
      </c>
      <c r="H29" s="18">
        <v>1</v>
      </c>
      <c r="I29" s="19"/>
      <c r="J29" s="19">
        <v>14520</v>
      </c>
      <c r="K29" s="19">
        <f t="shared" si="0"/>
        <v>2674</v>
      </c>
      <c r="L29" s="18"/>
      <c r="M29" s="18"/>
      <c r="N29" s="18"/>
      <c r="O29" s="18" t="s">
        <v>1035</v>
      </c>
    </row>
    <row r="30" spans="1:15" ht="15" x14ac:dyDescent="0.25">
      <c r="A30">
        <v>28</v>
      </c>
      <c r="B30" s="8" t="s">
        <v>43</v>
      </c>
      <c r="C30" s="21" t="s">
        <v>1065</v>
      </c>
      <c r="D30" s="22" t="s">
        <v>14</v>
      </c>
      <c r="E30" s="23">
        <v>1135</v>
      </c>
      <c r="F30" s="15">
        <v>1787</v>
      </c>
      <c r="G30" s="24" t="s">
        <v>6</v>
      </c>
      <c r="H30" s="18">
        <v>2</v>
      </c>
      <c r="I30" s="19"/>
      <c r="J30" s="19">
        <v>1715.52</v>
      </c>
      <c r="K30" s="19">
        <f t="shared" si="0"/>
        <v>580.52</v>
      </c>
      <c r="L30" s="18"/>
      <c r="M30" s="18"/>
      <c r="N30" s="18"/>
      <c r="O30" s="18" t="s">
        <v>1035</v>
      </c>
    </row>
    <row r="31" spans="1:15" ht="15" x14ac:dyDescent="0.25">
      <c r="A31">
        <v>29</v>
      </c>
      <c r="B31" s="7" t="s">
        <v>44</v>
      </c>
      <c r="C31" s="13" t="s">
        <v>1066</v>
      </c>
      <c r="D31" s="14" t="s">
        <v>14</v>
      </c>
      <c r="E31" s="16">
        <v>39967</v>
      </c>
      <c r="F31" s="16">
        <v>39967</v>
      </c>
      <c r="G31" s="25"/>
      <c r="H31" s="18">
        <v>2</v>
      </c>
      <c r="I31" s="19"/>
      <c r="J31" s="19">
        <v>40366.67</v>
      </c>
      <c r="K31" s="19">
        <f t="shared" si="0"/>
        <v>399.66999999999825</v>
      </c>
      <c r="L31" s="18"/>
      <c r="M31" s="18"/>
      <c r="N31" s="18"/>
      <c r="O31" s="18" t="s">
        <v>1035</v>
      </c>
    </row>
    <row r="32" spans="1:15" ht="15" x14ac:dyDescent="0.25">
      <c r="A32">
        <v>30</v>
      </c>
      <c r="B32" s="8" t="s">
        <v>45</v>
      </c>
      <c r="C32" s="21" t="s">
        <v>1067</v>
      </c>
      <c r="D32" s="22" t="s">
        <v>14</v>
      </c>
      <c r="E32" s="23">
        <v>5955</v>
      </c>
      <c r="F32" s="15">
        <v>9698.43</v>
      </c>
      <c r="G32" s="24" t="s">
        <v>11</v>
      </c>
      <c r="H32" s="18">
        <v>2</v>
      </c>
      <c r="I32" s="19"/>
      <c r="J32" s="19">
        <v>6950</v>
      </c>
      <c r="K32" s="19">
        <f t="shared" si="0"/>
        <v>995</v>
      </c>
      <c r="L32" s="18"/>
      <c r="M32" s="18"/>
      <c r="N32" s="18"/>
      <c r="O32" s="18" t="s">
        <v>1035</v>
      </c>
    </row>
    <row r="33" spans="1:15" ht="15" x14ac:dyDescent="0.25">
      <c r="A33">
        <v>31</v>
      </c>
      <c r="B33" s="7" t="s">
        <v>46</v>
      </c>
      <c r="C33" s="13" t="s">
        <v>1068</v>
      </c>
      <c r="D33" s="14" t="s">
        <v>14</v>
      </c>
      <c r="E33" s="16">
        <v>10055</v>
      </c>
      <c r="F33" s="15">
        <v>28817</v>
      </c>
      <c r="G33" s="17" t="s">
        <v>6</v>
      </c>
      <c r="H33" s="18">
        <v>3</v>
      </c>
      <c r="I33" s="19"/>
      <c r="J33" s="19">
        <v>27664.32</v>
      </c>
      <c r="K33" s="19">
        <f t="shared" si="0"/>
        <v>17609.32</v>
      </c>
      <c r="L33" s="18"/>
      <c r="M33" s="18"/>
      <c r="N33" s="18"/>
      <c r="O33" s="18" t="s">
        <v>1035</v>
      </c>
    </row>
    <row r="34" spans="1:15" ht="15" x14ac:dyDescent="0.25">
      <c r="A34">
        <v>32</v>
      </c>
      <c r="B34" s="8" t="s">
        <v>47</v>
      </c>
      <c r="C34" s="21" t="s">
        <v>1069</v>
      </c>
      <c r="D34" s="22" t="s">
        <v>48</v>
      </c>
      <c r="E34" s="15">
        <v>19257</v>
      </c>
      <c r="F34" s="23">
        <v>8535</v>
      </c>
      <c r="G34" s="24" t="s">
        <v>6</v>
      </c>
      <c r="H34" s="18">
        <v>1</v>
      </c>
      <c r="I34" s="19"/>
      <c r="J34" s="19">
        <v>19449.57</v>
      </c>
      <c r="K34" s="19">
        <f t="shared" si="0"/>
        <v>192.56999999999971</v>
      </c>
      <c r="L34" s="18"/>
      <c r="M34" s="18"/>
      <c r="N34" s="18"/>
      <c r="O34" s="18" t="s">
        <v>1035</v>
      </c>
    </row>
    <row r="35" spans="1:15" ht="15" x14ac:dyDescent="0.25">
      <c r="A35">
        <v>33</v>
      </c>
      <c r="B35" s="7" t="s">
        <v>49</v>
      </c>
      <c r="C35" s="13" t="s">
        <v>1070</v>
      </c>
      <c r="D35" s="14" t="s">
        <v>50</v>
      </c>
      <c r="E35" s="15">
        <v>783</v>
      </c>
      <c r="F35" s="16">
        <v>648</v>
      </c>
      <c r="G35" s="17" t="s">
        <v>6</v>
      </c>
      <c r="H35" s="18">
        <v>1</v>
      </c>
      <c r="I35" s="19"/>
      <c r="J35" s="19">
        <v>790.83</v>
      </c>
      <c r="K35" s="19">
        <f t="shared" si="0"/>
        <v>7.8300000000000409</v>
      </c>
      <c r="L35" s="18"/>
      <c r="M35" s="18"/>
      <c r="N35" s="18"/>
      <c r="O35" s="18" t="s">
        <v>1036</v>
      </c>
    </row>
    <row r="36" spans="1:15" ht="15" x14ac:dyDescent="0.25">
      <c r="A36">
        <v>34</v>
      </c>
      <c r="B36" s="8" t="s">
        <v>51</v>
      </c>
      <c r="C36" s="21" t="s">
        <v>1071</v>
      </c>
      <c r="D36" s="22" t="s">
        <v>52</v>
      </c>
      <c r="E36" s="15">
        <v>341</v>
      </c>
      <c r="F36" s="23">
        <v>236</v>
      </c>
      <c r="G36" s="24" t="s">
        <v>6</v>
      </c>
      <c r="H36" s="18">
        <v>1</v>
      </c>
      <c r="I36" s="19"/>
      <c r="J36" s="19">
        <v>344.41</v>
      </c>
      <c r="K36" s="19">
        <f t="shared" si="0"/>
        <v>3.410000000000025</v>
      </c>
      <c r="L36" s="18"/>
      <c r="M36" s="18"/>
      <c r="N36" s="18"/>
      <c r="O36" s="18" t="s">
        <v>1036</v>
      </c>
    </row>
    <row r="37" spans="1:15" ht="15" x14ac:dyDescent="0.25">
      <c r="A37">
        <v>35</v>
      </c>
      <c r="B37" s="7" t="s">
        <v>53</v>
      </c>
      <c r="C37" s="13" t="s">
        <v>1072</v>
      </c>
      <c r="D37" s="14" t="s">
        <v>54</v>
      </c>
      <c r="E37" s="15">
        <v>1038</v>
      </c>
      <c r="F37" s="16">
        <v>363</v>
      </c>
      <c r="G37" s="17" t="s">
        <v>6</v>
      </c>
      <c r="H37" s="18">
        <v>1</v>
      </c>
      <c r="I37" s="19"/>
      <c r="J37" s="19">
        <v>1048.3800000000001</v>
      </c>
      <c r="K37" s="19">
        <f t="shared" si="0"/>
        <v>10.380000000000109</v>
      </c>
      <c r="L37" s="18"/>
      <c r="M37" s="18"/>
      <c r="N37" s="18"/>
      <c r="O37" s="18" t="s">
        <v>1036</v>
      </c>
    </row>
    <row r="38" spans="1:15" ht="15" x14ac:dyDescent="0.25">
      <c r="A38">
        <v>36</v>
      </c>
      <c r="B38" s="8" t="s">
        <v>55</v>
      </c>
      <c r="C38" s="21" t="s">
        <v>1073</v>
      </c>
      <c r="D38" s="22" t="s">
        <v>14</v>
      </c>
      <c r="E38" s="23">
        <v>310</v>
      </c>
      <c r="F38" s="15">
        <v>389</v>
      </c>
      <c r="G38" s="24" t="s">
        <v>6</v>
      </c>
      <c r="H38" s="18">
        <v>1</v>
      </c>
      <c r="I38" s="19"/>
      <c r="J38" s="19">
        <v>373.44</v>
      </c>
      <c r="K38" s="19">
        <f t="shared" si="0"/>
        <v>63.44</v>
      </c>
      <c r="L38" s="18"/>
      <c r="M38" s="18"/>
      <c r="N38" s="18"/>
      <c r="O38" s="18" t="s">
        <v>1036</v>
      </c>
    </row>
    <row r="39" spans="1:15" ht="15" x14ac:dyDescent="0.25">
      <c r="A39">
        <v>37</v>
      </c>
      <c r="B39" s="7" t="s">
        <v>56</v>
      </c>
      <c r="C39" s="13" t="s">
        <v>1074</v>
      </c>
      <c r="D39" s="14" t="s">
        <v>24</v>
      </c>
      <c r="E39" s="15">
        <v>158</v>
      </c>
      <c r="F39" s="16">
        <v>33.82</v>
      </c>
      <c r="G39" s="17" t="s">
        <v>9</v>
      </c>
      <c r="H39" s="18">
        <v>4</v>
      </c>
      <c r="I39" s="19"/>
      <c r="J39" s="19">
        <v>159.58000000000001</v>
      </c>
      <c r="K39" s="19">
        <f t="shared" si="0"/>
        <v>1.5800000000000125</v>
      </c>
      <c r="L39" s="18"/>
      <c r="M39" s="18"/>
      <c r="N39" s="18"/>
      <c r="O39" s="18" t="s">
        <v>1036</v>
      </c>
    </row>
    <row r="40" spans="1:15" ht="15" x14ac:dyDescent="0.25">
      <c r="A40">
        <v>38</v>
      </c>
      <c r="B40" s="8" t="s">
        <v>57</v>
      </c>
      <c r="C40" s="21" t="s">
        <v>1075</v>
      </c>
      <c r="D40" s="22" t="s">
        <v>50</v>
      </c>
      <c r="E40" s="15">
        <v>396</v>
      </c>
      <c r="F40" s="23">
        <v>246</v>
      </c>
      <c r="G40" s="24" t="s">
        <v>6</v>
      </c>
      <c r="H40" s="18">
        <v>1</v>
      </c>
      <c r="I40" s="19"/>
      <c r="J40" s="19">
        <v>399.96</v>
      </c>
      <c r="K40" s="19">
        <f t="shared" si="0"/>
        <v>3.9599999999999795</v>
      </c>
      <c r="L40" s="18"/>
      <c r="M40" s="18"/>
      <c r="N40" s="18"/>
      <c r="O40" s="18" t="s">
        <v>1036</v>
      </c>
    </row>
    <row r="41" spans="1:15" ht="15" x14ac:dyDescent="0.25">
      <c r="A41">
        <v>39</v>
      </c>
      <c r="B41" s="7" t="s">
        <v>4</v>
      </c>
      <c r="C41" s="13" t="s">
        <v>1040</v>
      </c>
      <c r="D41" s="14" t="s">
        <v>5</v>
      </c>
      <c r="E41" s="15">
        <v>35</v>
      </c>
      <c r="F41" s="16">
        <v>16</v>
      </c>
      <c r="G41" s="17" t="s">
        <v>6</v>
      </c>
      <c r="H41" s="18">
        <v>20</v>
      </c>
      <c r="I41" s="19"/>
      <c r="J41" s="19">
        <v>35.35</v>
      </c>
      <c r="K41" s="19">
        <f t="shared" si="0"/>
        <v>0.35000000000000142</v>
      </c>
      <c r="L41" s="18"/>
      <c r="M41" s="18"/>
      <c r="N41" s="18"/>
      <c r="O41" s="18" t="s">
        <v>1036</v>
      </c>
    </row>
    <row r="42" spans="1:15" ht="15" x14ac:dyDescent="0.25">
      <c r="A42">
        <v>40</v>
      </c>
      <c r="B42" s="8" t="s">
        <v>58</v>
      </c>
      <c r="C42" s="21" t="s">
        <v>1076</v>
      </c>
      <c r="D42" s="22" t="s">
        <v>59</v>
      </c>
      <c r="E42" s="15">
        <v>796</v>
      </c>
      <c r="F42" s="23">
        <v>606</v>
      </c>
      <c r="G42" s="24" t="s">
        <v>6</v>
      </c>
      <c r="H42" s="18">
        <v>1</v>
      </c>
      <c r="I42" s="19"/>
      <c r="J42" s="19">
        <v>803.96</v>
      </c>
      <c r="K42" s="19">
        <f t="shared" si="0"/>
        <v>7.9600000000000364</v>
      </c>
      <c r="L42" s="18"/>
      <c r="M42" s="18"/>
      <c r="N42" s="18"/>
      <c r="O42" s="18" t="s">
        <v>1036</v>
      </c>
    </row>
    <row r="43" spans="1:15" ht="15" x14ac:dyDescent="0.25">
      <c r="A43">
        <v>41</v>
      </c>
      <c r="B43" s="7" t="s">
        <v>60</v>
      </c>
      <c r="C43" s="13" t="s">
        <v>1077</v>
      </c>
      <c r="D43" s="14" t="s">
        <v>48</v>
      </c>
      <c r="E43" s="16">
        <v>1147</v>
      </c>
      <c r="F43" s="15">
        <v>1277</v>
      </c>
      <c r="G43" s="17" t="s">
        <v>6</v>
      </c>
      <c r="H43" s="18">
        <v>1</v>
      </c>
      <c r="I43" s="19"/>
      <c r="J43" s="19">
        <v>1225.9199999999998</v>
      </c>
      <c r="K43" s="19">
        <f t="shared" si="0"/>
        <v>78.919999999999845</v>
      </c>
      <c r="L43" s="18"/>
      <c r="M43" s="18"/>
      <c r="N43" s="18"/>
      <c r="O43" s="18" t="s">
        <v>1036</v>
      </c>
    </row>
    <row r="44" spans="1:15" ht="15" x14ac:dyDescent="0.25">
      <c r="A44">
        <v>42</v>
      </c>
      <c r="B44" s="8" t="s">
        <v>61</v>
      </c>
      <c r="C44" s="21" t="s">
        <v>1078</v>
      </c>
      <c r="D44" s="22" t="s">
        <v>18</v>
      </c>
      <c r="E44" s="23">
        <v>95</v>
      </c>
      <c r="F44" s="15">
        <v>108</v>
      </c>
      <c r="G44" s="24" t="s">
        <v>6</v>
      </c>
      <c r="H44" s="18">
        <v>2</v>
      </c>
      <c r="I44" s="19">
        <f>VLOOKUP(B44,[1]Лист2!$A:$J,10,0)</f>
        <v>80.77</v>
      </c>
      <c r="J44" s="19">
        <v>103.67999999999999</v>
      </c>
      <c r="K44" s="19">
        <f t="shared" si="0"/>
        <v>8.6799999999999926</v>
      </c>
      <c r="L44" s="18"/>
      <c r="M44" s="18"/>
      <c r="N44" s="18"/>
      <c r="O44" s="18" t="s">
        <v>1036</v>
      </c>
    </row>
    <row r="45" spans="1:15" ht="15" x14ac:dyDescent="0.25">
      <c r="A45">
        <v>43</v>
      </c>
      <c r="B45" s="7" t="s">
        <v>62</v>
      </c>
      <c r="C45" s="13" t="s">
        <v>1079</v>
      </c>
      <c r="D45" s="14" t="s">
        <v>54</v>
      </c>
      <c r="E45" s="15">
        <v>132</v>
      </c>
      <c r="F45" s="16">
        <v>131</v>
      </c>
      <c r="G45" s="17" t="s">
        <v>6</v>
      </c>
      <c r="H45" s="18">
        <v>1</v>
      </c>
      <c r="I45" s="19">
        <f>VLOOKUP(B45,[1]Лист2!$A:$J,10,0)</f>
        <v>126.08</v>
      </c>
      <c r="J45" s="29">
        <v>127.3408</v>
      </c>
      <c r="K45" s="19">
        <f t="shared" si="0"/>
        <v>-4.6591999999999985</v>
      </c>
      <c r="L45" s="18"/>
      <c r="M45" s="18"/>
      <c r="N45" s="18"/>
      <c r="O45" s="18" t="s">
        <v>1036</v>
      </c>
    </row>
    <row r="46" spans="1:15" ht="15" x14ac:dyDescent="0.25">
      <c r="A46">
        <v>44</v>
      </c>
      <c r="B46" s="8" t="s">
        <v>63</v>
      </c>
      <c r="C46" s="21" t="s">
        <v>1080</v>
      </c>
      <c r="D46" s="22" t="s">
        <v>64</v>
      </c>
      <c r="E46" s="23">
        <v>373</v>
      </c>
      <c r="F46" s="15">
        <v>556</v>
      </c>
      <c r="G46" s="24" t="s">
        <v>6</v>
      </c>
      <c r="H46" s="18">
        <v>1</v>
      </c>
      <c r="I46" s="19"/>
      <c r="J46" s="19">
        <v>533.76</v>
      </c>
      <c r="K46" s="19">
        <f t="shared" si="0"/>
        <v>160.76</v>
      </c>
      <c r="L46" s="18"/>
      <c r="M46" s="18"/>
      <c r="N46" s="18"/>
      <c r="O46" s="18" t="s">
        <v>1036</v>
      </c>
    </row>
    <row r="47" spans="1:15" ht="15" x14ac:dyDescent="0.25">
      <c r="A47">
        <v>45</v>
      </c>
      <c r="B47" s="7" t="s">
        <v>65</v>
      </c>
      <c r="C47" s="13" t="s">
        <v>1081</v>
      </c>
      <c r="D47" s="14" t="s">
        <v>66</v>
      </c>
      <c r="E47" s="16">
        <v>921</v>
      </c>
      <c r="F47" s="15">
        <v>1363</v>
      </c>
      <c r="G47" s="17" t="s">
        <v>6</v>
      </c>
      <c r="H47" s="18">
        <v>1</v>
      </c>
      <c r="I47" s="19">
        <f>VLOOKUP(B47,[1]Лист2!$A:$J,10,0)</f>
        <v>151.69</v>
      </c>
      <c r="J47" s="19">
        <v>1308.48</v>
      </c>
      <c r="K47" s="19">
        <f t="shared" si="0"/>
        <v>387.48</v>
      </c>
      <c r="L47" s="18"/>
      <c r="M47" s="18"/>
      <c r="N47" s="18"/>
      <c r="O47" s="18" t="s">
        <v>1036</v>
      </c>
    </row>
    <row r="48" spans="1:15" ht="15" x14ac:dyDescent="0.25">
      <c r="A48">
        <v>46</v>
      </c>
      <c r="B48" s="8" t="s">
        <v>67</v>
      </c>
      <c r="C48" s="21" t="s">
        <v>1082</v>
      </c>
      <c r="D48" s="22" t="s">
        <v>64</v>
      </c>
      <c r="E48" s="15">
        <v>209</v>
      </c>
      <c r="F48" s="23">
        <v>64</v>
      </c>
      <c r="G48" s="24" t="s">
        <v>6</v>
      </c>
      <c r="H48" s="18">
        <v>1</v>
      </c>
      <c r="I48" s="19">
        <f>VLOOKUP(B48,[1]Лист2!$A:$J,10,0)</f>
        <v>58.115000000000002</v>
      </c>
      <c r="J48" s="19">
        <v>61.44</v>
      </c>
      <c r="K48" s="19">
        <f t="shared" si="0"/>
        <v>-147.56</v>
      </c>
      <c r="L48" s="18"/>
      <c r="M48" s="18"/>
      <c r="N48" s="18"/>
      <c r="O48" s="18" t="s">
        <v>1036</v>
      </c>
    </row>
    <row r="49" spans="1:15" ht="15" x14ac:dyDescent="0.25">
      <c r="A49">
        <v>47</v>
      </c>
      <c r="B49" s="7" t="s">
        <v>68</v>
      </c>
      <c r="C49" s="13" t="s">
        <v>1083</v>
      </c>
      <c r="D49" s="14" t="s">
        <v>64</v>
      </c>
      <c r="E49" s="16">
        <v>381</v>
      </c>
      <c r="F49" s="15">
        <v>477</v>
      </c>
      <c r="G49" s="17" t="s">
        <v>6</v>
      </c>
      <c r="H49" s="18">
        <v>1</v>
      </c>
      <c r="I49" s="19"/>
      <c r="J49" s="19">
        <v>457.91999999999996</v>
      </c>
      <c r="K49" s="19">
        <f t="shared" si="0"/>
        <v>76.919999999999959</v>
      </c>
      <c r="L49" s="18"/>
      <c r="M49" s="18"/>
      <c r="N49" s="18"/>
      <c r="O49" s="18" t="s">
        <v>1036</v>
      </c>
    </row>
    <row r="50" spans="1:15" ht="15" x14ac:dyDescent="0.25">
      <c r="A50">
        <v>48</v>
      </c>
      <c r="B50" s="8" t="s">
        <v>68</v>
      </c>
      <c r="C50" s="21" t="s">
        <v>1083</v>
      </c>
      <c r="D50" s="22" t="s">
        <v>64</v>
      </c>
      <c r="E50" s="23">
        <v>382</v>
      </c>
      <c r="F50" s="15">
        <v>477</v>
      </c>
      <c r="G50" s="24" t="s">
        <v>6</v>
      </c>
      <c r="H50" s="18">
        <v>1</v>
      </c>
      <c r="I50" s="19"/>
      <c r="J50" s="19">
        <v>457.91999999999996</v>
      </c>
      <c r="K50" s="19">
        <f t="shared" si="0"/>
        <v>75.919999999999959</v>
      </c>
      <c r="L50" s="18"/>
      <c r="M50" s="18"/>
      <c r="N50" s="18"/>
      <c r="O50" s="18" t="s">
        <v>1036</v>
      </c>
    </row>
    <row r="51" spans="1:15" ht="15" x14ac:dyDescent="0.25">
      <c r="A51">
        <v>49</v>
      </c>
      <c r="B51" s="7" t="s">
        <v>69</v>
      </c>
      <c r="C51" s="13" t="s">
        <v>1084</v>
      </c>
      <c r="D51" s="14" t="s">
        <v>64</v>
      </c>
      <c r="E51" s="16">
        <v>210</v>
      </c>
      <c r="F51" s="15">
        <v>267</v>
      </c>
      <c r="G51" s="17" t="s">
        <v>6</v>
      </c>
      <c r="H51" s="18">
        <v>1</v>
      </c>
      <c r="I51" s="19"/>
      <c r="J51" s="19">
        <v>256.32</v>
      </c>
      <c r="K51" s="19">
        <f t="shared" si="0"/>
        <v>46.319999999999993</v>
      </c>
      <c r="L51" s="18"/>
      <c r="M51" s="18"/>
      <c r="N51" s="18"/>
      <c r="O51" s="18" t="s">
        <v>1036</v>
      </c>
    </row>
    <row r="52" spans="1:15" ht="15" x14ac:dyDescent="0.25">
      <c r="A52">
        <v>50</v>
      </c>
      <c r="B52" s="8" t="s">
        <v>70</v>
      </c>
      <c r="C52" s="21" t="s">
        <v>1078</v>
      </c>
      <c r="D52" s="22" t="s">
        <v>8</v>
      </c>
      <c r="E52" s="23">
        <v>10</v>
      </c>
      <c r="F52" s="15">
        <v>20.64</v>
      </c>
      <c r="G52" s="24" t="s">
        <v>71</v>
      </c>
      <c r="H52" s="18">
        <v>1</v>
      </c>
      <c r="I52" s="19"/>
      <c r="J52" s="19">
        <v>19.814399999999999</v>
      </c>
      <c r="K52" s="19">
        <f t="shared" si="0"/>
        <v>9.8143999999999991</v>
      </c>
      <c r="L52" s="18"/>
      <c r="M52" s="18"/>
      <c r="N52" s="18"/>
      <c r="O52" s="18" t="s">
        <v>1036</v>
      </c>
    </row>
    <row r="53" spans="1:15" ht="15" x14ac:dyDescent="0.25">
      <c r="A53">
        <v>51</v>
      </c>
      <c r="B53" s="7" t="s">
        <v>72</v>
      </c>
      <c r="C53" s="13" t="s">
        <v>1078</v>
      </c>
      <c r="D53" s="14" t="s">
        <v>8</v>
      </c>
      <c r="E53" s="16">
        <v>18</v>
      </c>
      <c r="F53" s="15">
        <v>21</v>
      </c>
      <c r="G53" s="17" t="s">
        <v>6</v>
      </c>
      <c r="H53" s="18">
        <v>2</v>
      </c>
      <c r="I53" s="19">
        <f>VLOOKUP(B53,[1]Лист2!$A:$J,10,0)</f>
        <v>4.9249999999999998</v>
      </c>
      <c r="J53" s="19">
        <v>20.16</v>
      </c>
      <c r="K53" s="19">
        <f t="shared" si="0"/>
        <v>2.16</v>
      </c>
      <c r="L53" s="18"/>
      <c r="M53" s="18"/>
      <c r="N53" s="18"/>
      <c r="O53" s="18" t="s">
        <v>1036</v>
      </c>
    </row>
    <row r="54" spans="1:15" ht="15" x14ac:dyDescent="0.25">
      <c r="A54">
        <v>52</v>
      </c>
      <c r="B54" s="8" t="s">
        <v>73</v>
      </c>
      <c r="C54" s="21" t="s">
        <v>1078</v>
      </c>
      <c r="D54" s="22" t="s">
        <v>8</v>
      </c>
      <c r="E54" s="15">
        <v>84</v>
      </c>
      <c r="F54" s="23">
        <v>52</v>
      </c>
      <c r="G54" s="24" t="s">
        <v>6</v>
      </c>
      <c r="H54" s="18">
        <v>3</v>
      </c>
      <c r="I54" s="19">
        <f>VLOOKUP(B54,[1]Лист2!$A:$J,10,0)</f>
        <v>37.43</v>
      </c>
      <c r="J54" s="19">
        <v>49.92</v>
      </c>
      <c r="K54" s="19">
        <f t="shared" si="0"/>
        <v>-34.08</v>
      </c>
      <c r="L54" s="18"/>
      <c r="M54" s="18"/>
      <c r="N54" s="18"/>
      <c r="O54" s="18" t="s">
        <v>1036</v>
      </c>
    </row>
    <row r="55" spans="1:15" ht="15" x14ac:dyDescent="0.25">
      <c r="A55">
        <v>53</v>
      </c>
      <c r="B55" s="7" t="s">
        <v>74</v>
      </c>
      <c r="C55" s="13" t="s">
        <v>1085</v>
      </c>
      <c r="D55" s="14" t="s">
        <v>8</v>
      </c>
      <c r="E55" s="15">
        <v>18</v>
      </c>
      <c r="F55" s="16">
        <v>7.02</v>
      </c>
      <c r="G55" s="17" t="s">
        <v>9</v>
      </c>
      <c r="H55" s="18">
        <v>1</v>
      </c>
      <c r="I55" s="19">
        <f>VLOOKUP(B55,[1]Лист2!$A:$J,10,0)</f>
        <v>4.9249999999999998</v>
      </c>
      <c r="J55" s="19">
        <v>10</v>
      </c>
      <c r="K55" s="19">
        <f t="shared" si="0"/>
        <v>-8</v>
      </c>
      <c r="L55" s="18"/>
      <c r="M55" s="18"/>
      <c r="N55" s="18"/>
      <c r="O55" s="26" t="s">
        <v>1036</v>
      </c>
    </row>
    <row r="56" spans="1:15" ht="15" x14ac:dyDescent="0.25">
      <c r="A56">
        <v>54</v>
      </c>
      <c r="B56" s="8" t="s">
        <v>74</v>
      </c>
      <c r="C56" s="21" t="s">
        <v>1085</v>
      </c>
      <c r="D56" s="22" t="s">
        <v>8</v>
      </c>
      <c r="E56" s="15">
        <v>9</v>
      </c>
      <c r="F56" s="23">
        <v>7.02</v>
      </c>
      <c r="G56" s="24" t="s">
        <v>9</v>
      </c>
      <c r="H56" s="18">
        <v>3</v>
      </c>
      <c r="I56" s="19">
        <f>VLOOKUP(B56,[1]Лист2!$A:$J,10,0)</f>
        <v>4.9249999999999998</v>
      </c>
      <c r="J56" s="19">
        <v>6.7391999999999994</v>
      </c>
      <c r="K56" s="19">
        <f t="shared" si="0"/>
        <v>-2.2608000000000006</v>
      </c>
      <c r="L56" s="18"/>
      <c r="M56" s="18"/>
      <c r="N56" s="18"/>
      <c r="O56" s="26" t="s">
        <v>1036</v>
      </c>
    </row>
    <row r="57" spans="1:15" ht="15" x14ac:dyDescent="0.25">
      <c r="A57">
        <v>55</v>
      </c>
      <c r="B57" s="7" t="s">
        <v>75</v>
      </c>
      <c r="C57" s="13" t="s">
        <v>1086</v>
      </c>
      <c r="D57" s="14" t="s">
        <v>8</v>
      </c>
      <c r="E57" s="16">
        <v>247</v>
      </c>
      <c r="F57" s="15">
        <v>297</v>
      </c>
      <c r="G57" s="17" t="s">
        <v>6</v>
      </c>
      <c r="H57" s="18">
        <v>3</v>
      </c>
      <c r="I57" s="19"/>
      <c r="J57" s="19">
        <v>285.12</v>
      </c>
      <c r="K57" s="19">
        <f t="shared" si="0"/>
        <v>38.120000000000005</v>
      </c>
      <c r="L57" s="18"/>
      <c r="M57" s="18"/>
      <c r="N57" s="18"/>
      <c r="O57" s="26" t="s">
        <v>1036</v>
      </c>
    </row>
    <row r="58" spans="1:15" ht="15" x14ac:dyDescent="0.25">
      <c r="A58">
        <v>56</v>
      </c>
      <c r="B58" s="8" t="s">
        <v>76</v>
      </c>
      <c r="C58" s="21" t="s">
        <v>1087</v>
      </c>
      <c r="D58" s="22" t="s">
        <v>8</v>
      </c>
      <c r="E58" s="23">
        <v>10</v>
      </c>
      <c r="F58" s="15">
        <v>17.43</v>
      </c>
      <c r="G58" s="24" t="s">
        <v>71</v>
      </c>
      <c r="H58" s="18">
        <v>1</v>
      </c>
      <c r="I58" s="19"/>
      <c r="J58" s="19">
        <v>16.732799999999997</v>
      </c>
      <c r="K58" s="19">
        <f t="shared" si="0"/>
        <v>6.7327999999999975</v>
      </c>
      <c r="L58" s="18"/>
      <c r="M58" s="18"/>
      <c r="N58" s="18"/>
      <c r="O58" s="26" t="s">
        <v>1036</v>
      </c>
    </row>
    <row r="59" spans="1:15" ht="15" x14ac:dyDescent="0.25">
      <c r="A59">
        <v>57</v>
      </c>
      <c r="B59" s="7" t="s">
        <v>77</v>
      </c>
      <c r="C59" s="13" t="s">
        <v>1088</v>
      </c>
      <c r="D59" s="14" t="s">
        <v>8</v>
      </c>
      <c r="E59" s="16">
        <v>564</v>
      </c>
      <c r="F59" s="15">
        <v>595.58000000000004</v>
      </c>
      <c r="G59" s="17" t="s">
        <v>78</v>
      </c>
      <c r="H59" s="18">
        <v>1</v>
      </c>
      <c r="I59" s="19"/>
      <c r="J59" s="19">
        <v>571.7568</v>
      </c>
      <c r="K59" s="19">
        <f t="shared" si="0"/>
        <v>7.7567999999999984</v>
      </c>
      <c r="L59" s="18"/>
      <c r="M59" s="18"/>
      <c r="N59" s="18"/>
      <c r="O59" s="26" t="s">
        <v>1036</v>
      </c>
    </row>
    <row r="60" spans="1:15" ht="15" x14ac:dyDescent="0.25">
      <c r="A60">
        <v>58</v>
      </c>
      <c r="B60" s="8" t="s">
        <v>79</v>
      </c>
      <c r="C60" s="21" t="s">
        <v>1089</v>
      </c>
      <c r="D60" s="22" t="s">
        <v>8</v>
      </c>
      <c r="E60" s="23">
        <v>795</v>
      </c>
      <c r="F60" s="15">
        <v>941</v>
      </c>
      <c r="G60" s="24" t="s">
        <v>6</v>
      </c>
      <c r="H60" s="18">
        <v>1</v>
      </c>
      <c r="I60" s="19"/>
      <c r="J60" s="19">
        <v>903.36</v>
      </c>
      <c r="K60" s="19">
        <f t="shared" si="0"/>
        <v>108.36000000000001</v>
      </c>
      <c r="L60" s="18"/>
      <c r="M60" s="18"/>
      <c r="N60" s="18"/>
      <c r="O60" s="26" t="s">
        <v>1036</v>
      </c>
    </row>
    <row r="61" spans="1:15" ht="15" x14ac:dyDescent="0.25">
      <c r="A61">
        <v>59</v>
      </c>
      <c r="B61" s="7" t="s">
        <v>80</v>
      </c>
      <c r="C61" s="13" t="s">
        <v>1090</v>
      </c>
      <c r="D61" s="14" t="s">
        <v>8</v>
      </c>
      <c r="E61" s="16">
        <v>38</v>
      </c>
      <c r="F61" s="15">
        <v>97.93</v>
      </c>
      <c r="G61" s="17" t="s">
        <v>9</v>
      </c>
      <c r="H61" s="18">
        <v>12</v>
      </c>
      <c r="I61" s="19">
        <f>VLOOKUP(B61,[1]Лист2!$A:$J,10,0)</f>
        <v>38.414999999999999</v>
      </c>
      <c r="J61" s="19">
        <v>94.012799999999999</v>
      </c>
      <c r="K61" s="19">
        <f t="shared" si="0"/>
        <v>56.012799999999999</v>
      </c>
      <c r="L61" s="18"/>
      <c r="M61" s="18"/>
      <c r="N61" s="18"/>
      <c r="O61" s="26" t="s">
        <v>1036</v>
      </c>
    </row>
    <row r="62" spans="1:15" ht="15" x14ac:dyDescent="0.25">
      <c r="A62">
        <v>60</v>
      </c>
      <c r="B62" s="8" t="s">
        <v>80</v>
      </c>
      <c r="C62" s="21" t="s">
        <v>1090</v>
      </c>
      <c r="D62" s="22" t="s">
        <v>8</v>
      </c>
      <c r="E62" s="15">
        <v>113</v>
      </c>
      <c r="F62" s="23">
        <v>97.93</v>
      </c>
      <c r="G62" s="24" t="s">
        <v>9</v>
      </c>
      <c r="H62" s="18">
        <v>24</v>
      </c>
      <c r="I62" s="19">
        <f>VLOOKUP(B62,[1]Лист2!$A:$J,10,0)</f>
        <v>38.414999999999999</v>
      </c>
      <c r="J62" s="19">
        <v>94.012799999999999</v>
      </c>
      <c r="K62" s="19">
        <f t="shared" si="0"/>
        <v>-18.987200000000001</v>
      </c>
      <c r="L62" s="18"/>
      <c r="M62" s="18"/>
      <c r="N62" s="18"/>
      <c r="O62" s="26" t="s">
        <v>1036</v>
      </c>
    </row>
    <row r="63" spans="1:15" ht="15" x14ac:dyDescent="0.25">
      <c r="A63">
        <v>61</v>
      </c>
      <c r="B63" s="7" t="s">
        <v>81</v>
      </c>
      <c r="C63" s="13" t="s">
        <v>1091</v>
      </c>
      <c r="D63" s="14" t="s">
        <v>8</v>
      </c>
      <c r="E63" s="16">
        <v>26</v>
      </c>
      <c r="F63" s="15">
        <v>32</v>
      </c>
      <c r="G63" s="17" t="s">
        <v>6</v>
      </c>
      <c r="H63" s="18">
        <v>21</v>
      </c>
      <c r="I63" s="19">
        <f>VLOOKUP(B63,[1]Лист2!$A:$J,10,0)</f>
        <v>24.625</v>
      </c>
      <c r="J63" s="19">
        <v>30.72</v>
      </c>
      <c r="K63" s="19">
        <f t="shared" si="0"/>
        <v>4.7199999999999989</v>
      </c>
      <c r="L63" s="18"/>
      <c r="M63" s="18"/>
      <c r="N63" s="18"/>
      <c r="O63" s="26" t="s">
        <v>1036</v>
      </c>
    </row>
    <row r="64" spans="1:15" ht="15" x14ac:dyDescent="0.25">
      <c r="A64">
        <v>62</v>
      </c>
      <c r="B64" s="8" t="s">
        <v>82</v>
      </c>
      <c r="C64" s="21" t="s">
        <v>1092</v>
      </c>
      <c r="D64" s="22" t="s">
        <v>8</v>
      </c>
      <c r="E64" s="23">
        <v>199</v>
      </c>
      <c r="F64" s="15">
        <v>242</v>
      </c>
      <c r="G64" s="24" t="s">
        <v>6</v>
      </c>
      <c r="H64" s="18">
        <v>1</v>
      </c>
      <c r="I64" s="19"/>
      <c r="J64" s="19">
        <v>232.32</v>
      </c>
      <c r="K64" s="19">
        <f t="shared" si="0"/>
        <v>33.319999999999993</v>
      </c>
      <c r="L64" s="18"/>
      <c r="M64" s="18"/>
      <c r="N64" s="18"/>
      <c r="O64" s="26" t="s">
        <v>1036</v>
      </c>
    </row>
    <row r="65" spans="1:15" ht="15" x14ac:dyDescent="0.25">
      <c r="A65">
        <v>63</v>
      </c>
      <c r="B65" s="7" t="s">
        <v>83</v>
      </c>
      <c r="C65" s="13" t="s">
        <v>1093</v>
      </c>
      <c r="D65" s="14" t="s">
        <v>50</v>
      </c>
      <c r="E65" s="15">
        <v>4</v>
      </c>
      <c r="F65" s="16">
        <v>3.11</v>
      </c>
      <c r="G65" s="17" t="s">
        <v>9</v>
      </c>
      <c r="H65" s="18">
        <v>1</v>
      </c>
      <c r="I65" s="19">
        <f>VLOOKUP(B65,[1]Лист2!$A:$J,10,0)</f>
        <v>2.9550000000000001</v>
      </c>
      <c r="J65" s="19">
        <v>4</v>
      </c>
      <c r="K65" s="19">
        <f t="shared" si="0"/>
        <v>0</v>
      </c>
      <c r="L65" s="18"/>
      <c r="M65" s="18"/>
      <c r="N65" s="18"/>
      <c r="O65" s="26" t="s">
        <v>1036</v>
      </c>
    </row>
    <row r="66" spans="1:15" ht="15" x14ac:dyDescent="0.25">
      <c r="A66">
        <v>64</v>
      </c>
      <c r="B66" s="8" t="s">
        <v>84</v>
      </c>
      <c r="C66" s="21" t="s">
        <v>1094</v>
      </c>
      <c r="D66" s="22" t="s">
        <v>50</v>
      </c>
      <c r="E66" s="23">
        <v>7</v>
      </c>
      <c r="F66" s="15">
        <v>10</v>
      </c>
      <c r="G66" s="24" t="s">
        <v>6</v>
      </c>
      <c r="H66" s="18">
        <v>1</v>
      </c>
      <c r="I66" s="19">
        <f>VLOOKUP(B66,[1]Лист2!$A:$J,10,0)</f>
        <v>3.94</v>
      </c>
      <c r="J66" s="19">
        <v>9.6</v>
      </c>
      <c r="K66" s="19">
        <f t="shared" si="0"/>
        <v>2.5999999999999996</v>
      </c>
      <c r="L66" s="18"/>
      <c r="M66" s="18"/>
      <c r="N66" s="18"/>
      <c r="O66" s="26" t="s">
        <v>1036</v>
      </c>
    </row>
    <row r="67" spans="1:15" ht="15" x14ac:dyDescent="0.25">
      <c r="A67">
        <v>65</v>
      </c>
      <c r="B67" s="7" t="s">
        <v>85</v>
      </c>
      <c r="C67" s="13" t="s">
        <v>1095</v>
      </c>
      <c r="D67" s="14" t="s">
        <v>86</v>
      </c>
      <c r="E67" s="16">
        <v>39</v>
      </c>
      <c r="F67" s="16">
        <v>39</v>
      </c>
      <c r="G67" s="25"/>
      <c r="H67" s="18">
        <v>1</v>
      </c>
      <c r="I67" s="19"/>
      <c r="J67" s="19">
        <v>39.39</v>
      </c>
      <c r="K67" s="19">
        <f t="shared" ref="K67:K130" si="1">J67-E67</f>
        <v>0.39000000000000057</v>
      </c>
      <c r="L67" s="18"/>
      <c r="M67" s="18"/>
      <c r="N67" s="18"/>
      <c r="O67" s="26" t="s">
        <v>1036</v>
      </c>
    </row>
    <row r="68" spans="1:15" ht="15" x14ac:dyDescent="0.25">
      <c r="A68">
        <v>66</v>
      </c>
      <c r="B68" s="8" t="s">
        <v>87</v>
      </c>
      <c r="C68" s="21" t="s">
        <v>1096</v>
      </c>
      <c r="D68" s="22" t="s">
        <v>50</v>
      </c>
      <c r="E68" s="23">
        <v>78</v>
      </c>
      <c r="F68" s="15">
        <v>114</v>
      </c>
      <c r="G68" s="24" t="s">
        <v>6</v>
      </c>
      <c r="H68" s="18">
        <v>1</v>
      </c>
      <c r="I68" s="19"/>
      <c r="J68" s="19">
        <v>109.44</v>
      </c>
      <c r="K68" s="19">
        <f t="shared" si="1"/>
        <v>31.439999999999998</v>
      </c>
      <c r="L68" s="18"/>
      <c r="M68" s="18"/>
      <c r="N68" s="18"/>
      <c r="O68" s="26" t="s">
        <v>1036</v>
      </c>
    </row>
    <row r="69" spans="1:15" ht="15" x14ac:dyDescent="0.25">
      <c r="A69">
        <v>67</v>
      </c>
      <c r="B69" s="7" t="s">
        <v>88</v>
      </c>
      <c r="C69" s="13" t="s">
        <v>1097</v>
      </c>
      <c r="D69" s="14" t="s">
        <v>50</v>
      </c>
      <c r="E69" s="15">
        <v>335</v>
      </c>
      <c r="F69" s="16">
        <v>85</v>
      </c>
      <c r="G69" s="17" t="s">
        <v>6</v>
      </c>
      <c r="H69" s="18">
        <v>1</v>
      </c>
      <c r="I69" s="19">
        <f>VLOOKUP(B69,[1]Лист2!$A:$J,10,0)</f>
        <v>90.62</v>
      </c>
      <c r="J69" s="29">
        <v>91.526200000000003</v>
      </c>
      <c r="K69" s="19">
        <f t="shared" si="1"/>
        <v>-243.47379999999998</v>
      </c>
      <c r="L69" s="18"/>
      <c r="M69" s="18"/>
      <c r="N69" s="18"/>
      <c r="O69" s="26" t="s">
        <v>1036</v>
      </c>
    </row>
    <row r="70" spans="1:15" ht="15" x14ac:dyDescent="0.25">
      <c r="A70">
        <v>68</v>
      </c>
      <c r="B70" s="8" t="s">
        <v>89</v>
      </c>
      <c r="C70" s="21" t="s">
        <v>1098</v>
      </c>
      <c r="D70" s="22" t="s">
        <v>50</v>
      </c>
      <c r="E70" s="15">
        <v>365</v>
      </c>
      <c r="F70" s="23">
        <v>340</v>
      </c>
      <c r="G70" s="24" t="s">
        <v>6</v>
      </c>
      <c r="H70" s="18">
        <v>1</v>
      </c>
      <c r="I70" s="19">
        <f>VLOOKUP(B70,[1]Лист2!$A:$J,10,0)</f>
        <v>292.54500000000002</v>
      </c>
      <c r="J70" s="19">
        <v>326.39999999999998</v>
      </c>
      <c r="K70" s="19">
        <f t="shared" si="1"/>
        <v>-38.600000000000023</v>
      </c>
      <c r="L70" s="18"/>
      <c r="M70" s="18"/>
      <c r="N70" s="18"/>
      <c r="O70" s="26" t="s">
        <v>1036</v>
      </c>
    </row>
    <row r="71" spans="1:15" ht="15" x14ac:dyDescent="0.25">
      <c r="A71">
        <v>69</v>
      </c>
      <c r="B71" s="7" t="s">
        <v>90</v>
      </c>
      <c r="C71" s="13" t="s">
        <v>1099</v>
      </c>
      <c r="D71" s="14" t="s">
        <v>91</v>
      </c>
      <c r="E71" s="16">
        <v>600</v>
      </c>
      <c r="F71" s="15">
        <v>861</v>
      </c>
      <c r="G71" s="17" t="s">
        <v>6</v>
      </c>
      <c r="H71" s="18">
        <v>1</v>
      </c>
      <c r="I71" s="19"/>
      <c r="J71" s="19">
        <v>826.56</v>
      </c>
      <c r="K71" s="19">
        <f t="shared" si="1"/>
        <v>226.55999999999995</v>
      </c>
      <c r="L71" s="18"/>
      <c r="M71" s="18"/>
      <c r="N71" s="18"/>
      <c r="O71" s="26" t="s">
        <v>1036</v>
      </c>
    </row>
    <row r="72" spans="1:15" ht="15" x14ac:dyDescent="0.25">
      <c r="A72">
        <v>70</v>
      </c>
      <c r="B72" s="8" t="s">
        <v>92</v>
      </c>
      <c r="C72" s="21" t="s">
        <v>1100</v>
      </c>
      <c r="D72" s="22" t="s">
        <v>24</v>
      </c>
      <c r="E72" s="23">
        <v>719</v>
      </c>
      <c r="F72" s="15">
        <v>785</v>
      </c>
      <c r="G72" s="24" t="s">
        <v>6</v>
      </c>
      <c r="H72" s="18">
        <v>2</v>
      </c>
      <c r="I72" s="19"/>
      <c r="J72" s="19">
        <v>753.6</v>
      </c>
      <c r="K72" s="19">
        <f t="shared" si="1"/>
        <v>34.600000000000023</v>
      </c>
      <c r="L72" s="18"/>
      <c r="M72" s="18"/>
      <c r="N72" s="18"/>
      <c r="O72" s="26" t="s">
        <v>1036</v>
      </c>
    </row>
    <row r="73" spans="1:15" ht="15" x14ac:dyDescent="0.25">
      <c r="A73">
        <v>71</v>
      </c>
      <c r="B73" s="7" t="s">
        <v>92</v>
      </c>
      <c r="C73" s="13" t="s">
        <v>1100</v>
      </c>
      <c r="D73" s="14" t="s">
        <v>24</v>
      </c>
      <c r="E73" s="16">
        <v>719</v>
      </c>
      <c r="F73" s="15">
        <v>785</v>
      </c>
      <c r="G73" s="17" t="s">
        <v>6</v>
      </c>
      <c r="H73" s="18">
        <v>1</v>
      </c>
      <c r="I73" s="19"/>
      <c r="J73" s="19">
        <v>753.6</v>
      </c>
      <c r="K73" s="19">
        <f t="shared" si="1"/>
        <v>34.600000000000023</v>
      </c>
      <c r="L73" s="18"/>
      <c r="M73" s="18"/>
      <c r="N73" s="18"/>
      <c r="O73" s="26" t="s">
        <v>1036</v>
      </c>
    </row>
    <row r="74" spans="1:15" ht="15" x14ac:dyDescent="0.25">
      <c r="A74">
        <v>72</v>
      </c>
      <c r="B74" s="8" t="s">
        <v>92</v>
      </c>
      <c r="C74" s="21" t="s">
        <v>1100</v>
      </c>
      <c r="D74" s="22" t="s">
        <v>24</v>
      </c>
      <c r="E74" s="23">
        <v>719</v>
      </c>
      <c r="F74" s="15">
        <v>785</v>
      </c>
      <c r="G74" s="24" t="s">
        <v>6</v>
      </c>
      <c r="H74" s="18">
        <v>1</v>
      </c>
      <c r="I74" s="19"/>
      <c r="J74" s="19">
        <v>753.6</v>
      </c>
      <c r="K74" s="19">
        <f t="shared" si="1"/>
        <v>34.600000000000023</v>
      </c>
      <c r="L74" s="18"/>
      <c r="M74" s="18"/>
      <c r="N74" s="18"/>
      <c r="O74" s="26" t="s">
        <v>1036</v>
      </c>
    </row>
    <row r="75" spans="1:15" ht="15" x14ac:dyDescent="0.25">
      <c r="A75">
        <v>73</v>
      </c>
      <c r="B75" s="7" t="s">
        <v>92</v>
      </c>
      <c r="C75" s="13" t="s">
        <v>1100</v>
      </c>
      <c r="D75" s="14" t="s">
        <v>24</v>
      </c>
      <c r="E75" s="16">
        <v>719</v>
      </c>
      <c r="F75" s="15">
        <v>785</v>
      </c>
      <c r="G75" s="17" t="s">
        <v>6</v>
      </c>
      <c r="H75" s="18">
        <v>1</v>
      </c>
      <c r="I75" s="19"/>
      <c r="J75" s="19">
        <v>753.6</v>
      </c>
      <c r="K75" s="19">
        <f t="shared" si="1"/>
        <v>34.600000000000023</v>
      </c>
      <c r="L75" s="18"/>
      <c r="M75" s="18"/>
      <c r="N75" s="18"/>
      <c r="O75" s="26" t="s">
        <v>1036</v>
      </c>
    </row>
    <row r="76" spans="1:15" ht="15" x14ac:dyDescent="0.25">
      <c r="A76">
        <v>74</v>
      </c>
      <c r="B76" s="8" t="s">
        <v>92</v>
      </c>
      <c r="C76" s="21" t="s">
        <v>1100</v>
      </c>
      <c r="D76" s="22" t="s">
        <v>24</v>
      </c>
      <c r="E76" s="23">
        <v>719</v>
      </c>
      <c r="F76" s="15">
        <v>785</v>
      </c>
      <c r="G76" s="24" t="s">
        <v>6</v>
      </c>
      <c r="H76" s="18">
        <v>1</v>
      </c>
      <c r="I76" s="19"/>
      <c r="J76" s="19">
        <v>753.6</v>
      </c>
      <c r="K76" s="19">
        <f t="shared" si="1"/>
        <v>34.600000000000023</v>
      </c>
      <c r="L76" s="18"/>
      <c r="M76" s="18"/>
      <c r="N76" s="18"/>
      <c r="O76" s="26" t="s">
        <v>1036</v>
      </c>
    </row>
    <row r="77" spans="1:15" ht="15" x14ac:dyDescent="0.25">
      <c r="A77">
        <v>75</v>
      </c>
      <c r="B77" s="7" t="s">
        <v>92</v>
      </c>
      <c r="C77" s="13" t="s">
        <v>1100</v>
      </c>
      <c r="D77" s="14" t="s">
        <v>24</v>
      </c>
      <c r="E77" s="16">
        <v>762</v>
      </c>
      <c r="F77" s="15">
        <v>785</v>
      </c>
      <c r="G77" s="17" t="s">
        <v>6</v>
      </c>
      <c r="H77" s="18">
        <v>2</v>
      </c>
      <c r="I77" s="19"/>
      <c r="J77" s="19">
        <v>769.62</v>
      </c>
      <c r="K77" s="19">
        <f t="shared" si="1"/>
        <v>7.6200000000000045</v>
      </c>
      <c r="L77" s="18"/>
      <c r="M77" s="18"/>
      <c r="N77" s="18"/>
      <c r="O77" s="26" t="s">
        <v>1036</v>
      </c>
    </row>
    <row r="78" spans="1:15" ht="15" x14ac:dyDescent="0.25">
      <c r="A78">
        <v>76</v>
      </c>
      <c r="B78" s="8" t="s">
        <v>92</v>
      </c>
      <c r="C78" s="21" t="s">
        <v>1100</v>
      </c>
      <c r="D78" s="22" t="s">
        <v>24</v>
      </c>
      <c r="E78" s="23">
        <v>719</v>
      </c>
      <c r="F78" s="15">
        <v>785</v>
      </c>
      <c r="G78" s="24" t="s">
        <v>6</v>
      </c>
      <c r="H78" s="18">
        <v>1</v>
      </c>
      <c r="I78" s="19"/>
      <c r="J78" s="19">
        <v>753.6</v>
      </c>
      <c r="K78" s="19">
        <f t="shared" si="1"/>
        <v>34.600000000000023</v>
      </c>
      <c r="L78" s="18"/>
      <c r="M78" s="18"/>
      <c r="N78" s="18"/>
      <c r="O78" s="26" t="s">
        <v>1036</v>
      </c>
    </row>
    <row r="79" spans="1:15" ht="15" x14ac:dyDescent="0.25">
      <c r="A79">
        <v>77</v>
      </c>
      <c r="B79" s="7" t="s">
        <v>93</v>
      </c>
      <c r="C79" s="13" t="s">
        <v>1091</v>
      </c>
      <c r="D79" s="14" t="s">
        <v>8</v>
      </c>
      <c r="E79" s="15">
        <v>30</v>
      </c>
      <c r="F79" s="16">
        <v>16.8</v>
      </c>
      <c r="G79" s="17" t="s">
        <v>71</v>
      </c>
      <c r="H79" s="18">
        <v>1</v>
      </c>
      <c r="I79" s="19">
        <f>VLOOKUP(B79,[1]Лист2!$A:$J,10,0)</f>
        <v>16.745000000000001</v>
      </c>
      <c r="J79" s="29">
        <v>21</v>
      </c>
      <c r="K79" s="19">
        <f t="shared" si="1"/>
        <v>-9</v>
      </c>
      <c r="L79" s="18"/>
      <c r="M79" s="18"/>
      <c r="N79" s="18"/>
      <c r="O79" s="26" t="s">
        <v>1036</v>
      </c>
    </row>
    <row r="80" spans="1:15" ht="15" x14ac:dyDescent="0.25">
      <c r="A80">
        <v>78</v>
      </c>
      <c r="B80" s="8" t="s">
        <v>94</v>
      </c>
      <c r="C80" s="21" t="s">
        <v>1101</v>
      </c>
      <c r="D80" s="22" t="s">
        <v>8</v>
      </c>
      <c r="E80" s="15">
        <v>53</v>
      </c>
      <c r="F80" s="23">
        <v>50</v>
      </c>
      <c r="G80" s="24" t="s">
        <v>6</v>
      </c>
      <c r="H80" s="18">
        <v>4</v>
      </c>
      <c r="I80" s="19">
        <f>VLOOKUP(B80,[1]Лист2!$A:$J,10,0)</f>
        <v>44.325000000000003</v>
      </c>
      <c r="J80" s="19">
        <v>48</v>
      </c>
      <c r="K80" s="19">
        <f t="shared" si="1"/>
        <v>-5</v>
      </c>
      <c r="L80" s="18"/>
      <c r="M80" s="18"/>
      <c r="N80" s="18"/>
      <c r="O80" s="26" t="s">
        <v>1036</v>
      </c>
    </row>
    <row r="81" spans="1:15" ht="15" x14ac:dyDescent="0.25">
      <c r="A81">
        <v>79</v>
      </c>
      <c r="B81" s="7" t="s">
        <v>95</v>
      </c>
      <c r="C81" s="13" t="s">
        <v>1102</v>
      </c>
      <c r="D81" s="14" t="s">
        <v>8</v>
      </c>
      <c r="E81" s="16">
        <v>541</v>
      </c>
      <c r="F81" s="15">
        <v>643</v>
      </c>
      <c r="G81" s="17" t="s">
        <v>6</v>
      </c>
      <c r="H81" s="18">
        <v>1</v>
      </c>
      <c r="I81" s="19"/>
      <c r="J81" s="19">
        <v>617.28</v>
      </c>
      <c r="K81" s="19">
        <f t="shared" si="1"/>
        <v>76.279999999999973</v>
      </c>
      <c r="L81" s="18"/>
      <c r="M81" s="18"/>
      <c r="N81" s="18"/>
      <c r="O81" s="26" t="s">
        <v>1036</v>
      </c>
    </row>
    <row r="82" spans="1:15" ht="15" x14ac:dyDescent="0.25">
      <c r="A82">
        <v>80</v>
      </c>
      <c r="B82" s="8" t="s">
        <v>96</v>
      </c>
      <c r="C82" s="21" t="s">
        <v>1102</v>
      </c>
      <c r="D82" s="22" t="s">
        <v>8</v>
      </c>
      <c r="E82" s="23">
        <v>541</v>
      </c>
      <c r="F82" s="15">
        <v>643</v>
      </c>
      <c r="G82" s="24" t="s">
        <v>6</v>
      </c>
      <c r="H82" s="18">
        <v>1</v>
      </c>
      <c r="I82" s="19"/>
      <c r="J82" s="19">
        <v>617.28</v>
      </c>
      <c r="K82" s="19">
        <f t="shared" si="1"/>
        <v>76.279999999999973</v>
      </c>
      <c r="L82" s="18"/>
      <c r="M82" s="18"/>
      <c r="N82" s="18"/>
      <c r="O82" s="26" t="s">
        <v>1036</v>
      </c>
    </row>
    <row r="83" spans="1:15" ht="15" x14ac:dyDescent="0.25">
      <c r="A83">
        <v>81</v>
      </c>
      <c r="B83" s="7" t="s">
        <v>97</v>
      </c>
      <c r="C83" s="13" t="s">
        <v>1103</v>
      </c>
      <c r="D83" s="14" t="s">
        <v>8</v>
      </c>
      <c r="E83" s="15">
        <v>471</v>
      </c>
      <c r="F83" s="16">
        <v>180</v>
      </c>
      <c r="G83" s="17" t="s">
        <v>6</v>
      </c>
      <c r="H83" s="18">
        <v>1</v>
      </c>
      <c r="I83" s="19">
        <f>VLOOKUP(B83,[1]Лист2!$A:$J,10,0)</f>
        <v>177.3</v>
      </c>
      <c r="J83" s="29">
        <v>179.07300000000001</v>
      </c>
      <c r="K83" s="19">
        <f t="shared" si="1"/>
        <v>-291.92700000000002</v>
      </c>
      <c r="L83" s="18"/>
      <c r="M83" s="18"/>
      <c r="N83" s="18"/>
      <c r="O83" s="26" t="s">
        <v>1036</v>
      </c>
    </row>
    <row r="84" spans="1:15" ht="15" x14ac:dyDescent="0.25">
      <c r="A84">
        <v>82</v>
      </c>
      <c r="B84" s="8" t="s">
        <v>98</v>
      </c>
      <c r="C84" s="21" t="s">
        <v>1104</v>
      </c>
      <c r="D84" s="22" t="s">
        <v>8</v>
      </c>
      <c r="E84" s="15">
        <v>471</v>
      </c>
      <c r="F84" s="23">
        <v>179</v>
      </c>
      <c r="G84" s="24" t="s">
        <v>6</v>
      </c>
      <c r="H84" s="18">
        <v>1</v>
      </c>
      <c r="I84" s="19">
        <f>VLOOKUP(B84,[1]Лист2!$A:$J,10,0)</f>
        <v>177.3</v>
      </c>
      <c r="J84" s="19">
        <v>179.07300000000001</v>
      </c>
      <c r="K84" s="19">
        <f t="shared" si="1"/>
        <v>-291.92700000000002</v>
      </c>
      <c r="L84" s="18"/>
      <c r="M84" s="18"/>
      <c r="N84" s="18"/>
      <c r="O84" s="26" t="s">
        <v>1036</v>
      </c>
    </row>
    <row r="85" spans="1:15" ht="15" x14ac:dyDescent="0.25">
      <c r="A85">
        <v>83</v>
      </c>
      <c r="B85" s="7" t="s">
        <v>99</v>
      </c>
      <c r="C85" s="13" t="s">
        <v>1105</v>
      </c>
      <c r="D85" s="14" t="s">
        <v>8</v>
      </c>
      <c r="E85" s="16">
        <v>913</v>
      </c>
      <c r="F85" s="15">
        <v>1079</v>
      </c>
      <c r="G85" s="17" t="s">
        <v>6</v>
      </c>
      <c r="H85" s="18">
        <v>2</v>
      </c>
      <c r="I85" s="19"/>
      <c r="J85" s="19">
        <v>1035.8399999999999</v>
      </c>
      <c r="K85" s="19">
        <f t="shared" si="1"/>
        <v>122.83999999999992</v>
      </c>
      <c r="L85" s="18"/>
      <c r="M85" s="18"/>
      <c r="N85" s="18"/>
      <c r="O85" s="26" t="s">
        <v>1036</v>
      </c>
    </row>
    <row r="86" spans="1:15" ht="15" x14ac:dyDescent="0.25">
      <c r="A86">
        <v>84</v>
      </c>
      <c r="B86" s="8" t="s">
        <v>100</v>
      </c>
      <c r="C86" s="21" t="s">
        <v>1106</v>
      </c>
      <c r="D86" s="22" t="s">
        <v>101</v>
      </c>
      <c r="E86" s="23">
        <v>642</v>
      </c>
      <c r="F86" s="15">
        <v>1099.98</v>
      </c>
      <c r="G86" s="24" t="s">
        <v>11</v>
      </c>
      <c r="H86" s="18">
        <v>1</v>
      </c>
      <c r="I86" s="19"/>
      <c r="J86" s="19">
        <v>1055.9808</v>
      </c>
      <c r="K86" s="19">
        <f t="shared" si="1"/>
        <v>413.98080000000004</v>
      </c>
      <c r="L86" s="18"/>
      <c r="M86" s="18"/>
      <c r="N86" s="18"/>
      <c r="O86" s="26" t="s">
        <v>1036</v>
      </c>
    </row>
    <row r="87" spans="1:15" ht="15" x14ac:dyDescent="0.25">
      <c r="A87">
        <v>85</v>
      </c>
      <c r="B87" s="7" t="s">
        <v>102</v>
      </c>
      <c r="C87" s="13" t="s">
        <v>1107</v>
      </c>
      <c r="D87" s="14" t="s">
        <v>103</v>
      </c>
      <c r="E87" s="16">
        <v>761</v>
      </c>
      <c r="F87" s="15">
        <v>825</v>
      </c>
      <c r="G87" s="17" t="s">
        <v>6</v>
      </c>
      <c r="H87" s="18">
        <v>1</v>
      </c>
      <c r="I87" s="19"/>
      <c r="J87" s="19">
        <v>792</v>
      </c>
      <c r="K87" s="19">
        <f t="shared" si="1"/>
        <v>31</v>
      </c>
      <c r="L87" s="18"/>
      <c r="M87" s="18"/>
      <c r="N87" s="18"/>
      <c r="O87" s="26" t="s">
        <v>1036</v>
      </c>
    </row>
    <row r="88" spans="1:15" ht="15" x14ac:dyDescent="0.25">
      <c r="A88">
        <v>86</v>
      </c>
      <c r="B88" s="8" t="s">
        <v>104</v>
      </c>
      <c r="C88" s="21" t="s">
        <v>1108</v>
      </c>
      <c r="D88" s="22" t="s">
        <v>105</v>
      </c>
      <c r="E88" s="23">
        <v>431</v>
      </c>
      <c r="F88" s="15">
        <v>642</v>
      </c>
      <c r="G88" s="24" t="s">
        <v>6</v>
      </c>
      <c r="H88" s="18">
        <v>1</v>
      </c>
      <c r="I88" s="19"/>
      <c r="J88" s="19">
        <v>616.31999999999994</v>
      </c>
      <c r="K88" s="19">
        <f t="shared" si="1"/>
        <v>185.31999999999994</v>
      </c>
      <c r="L88" s="18"/>
      <c r="M88" s="18"/>
      <c r="N88" s="18"/>
      <c r="O88" s="26" t="s">
        <v>1036</v>
      </c>
    </row>
    <row r="89" spans="1:15" ht="15" x14ac:dyDescent="0.25">
      <c r="A89">
        <v>87</v>
      </c>
      <c r="B89" s="7" t="s">
        <v>106</v>
      </c>
      <c r="C89" s="13" t="s">
        <v>1109</v>
      </c>
      <c r="D89" s="14" t="s">
        <v>8</v>
      </c>
      <c r="E89" s="16">
        <v>379</v>
      </c>
      <c r="F89" s="15">
        <v>453</v>
      </c>
      <c r="G89" s="17" t="s">
        <v>6</v>
      </c>
      <c r="H89" s="18">
        <v>1</v>
      </c>
      <c r="I89" s="19"/>
      <c r="J89" s="19">
        <v>434.88</v>
      </c>
      <c r="K89" s="19">
        <f t="shared" si="1"/>
        <v>55.879999999999995</v>
      </c>
      <c r="L89" s="18"/>
      <c r="M89" s="18"/>
      <c r="N89" s="18"/>
      <c r="O89" s="26" t="s">
        <v>1036</v>
      </c>
    </row>
    <row r="90" spans="1:15" ht="15" x14ac:dyDescent="0.25">
      <c r="A90">
        <v>88</v>
      </c>
      <c r="B90" s="8" t="s">
        <v>107</v>
      </c>
      <c r="C90" s="21" t="s">
        <v>1092</v>
      </c>
      <c r="D90" s="22" t="s">
        <v>8</v>
      </c>
      <c r="E90" s="15">
        <v>407</v>
      </c>
      <c r="F90" s="23">
        <v>120</v>
      </c>
      <c r="G90" s="24" t="s">
        <v>6</v>
      </c>
      <c r="H90" s="18">
        <v>1</v>
      </c>
      <c r="I90" s="19">
        <f>VLOOKUP(B90,[1]Лист2!$A:$J,10,0)</f>
        <v>99.484999999999999</v>
      </c>
      <c r="J90" s="19">
        <v>115.19999999999999</v>
      </c>
      <c r="K90" s="19">
        <f t="shared" si="1"/>
        <v>-291.8</v>
      </c>
      <c r="L90" s="18"/>
      <c r="M90" s="18"/>
      <c r="N90" s="18"/>
      <c r="O90" s="26" t="s">
        <v>1036</v>
      </c>
    </row>
    <row r="91" spans="1:15" ht="15" x14ac:dyDescent="0.25">
      <c r="A91">
        <v>89</v>
      </c>
      <c r="B91" s="7" t="s">
        <v>7</v>
      </c>
      <c r="C91" s="13" t="s">
        <v>1041</v>
      </c>
      <c r="D91" s="14" t="s">
        <v>8</v>
      </c>
      <c r="E91" s="15">
        <v>65</v>
      </c>
      <c r="F91" s="16">
        <v>10.46</v>
      </c>
      <c r="G91" s="17" t="s">
        <v>9</v>
      </c>
      <c r="H91" s="18">
        <v>6</v>
      </c>
      <c r="I91" s="19">
        <f>VLOOKUP(B91,[1]Лист2!$A:$J,10,0)</f>
        <v>6.8949999999999996</v>
      </c>
      <c r="J91" s="19">
        <v>10.041600000000001</v>
      </c>
      <c r="K91" s="19">
        <f t="shared" si="1"/>
        <v>-54.958399999999997</v>
      </c>
      <c r="L91" s="18"/>
      <c r="M91" s="18"/>
      <c r="N91" s="18"/>
      <c r="O91" s="26" t="s">
        <v>1036</v>
      </c>
    </row>
    <row r="92" spans="1:15" ht="15" x14ac:dyDescent="0.25">
      <c r="A92">
        <v>90</v>
      </c>
      <c r="B92" s="8" t="s">
        <v>108</v>
      </c>
      <c r="C92" s="21" t="s">
        <v>1110</v>
      </c>
      <c r="D92" s="22" t="s">
        <v>8</v>
      </c>
      <c r="E92" s="23">
        <v>435</v>
      </c>
      <c r="F92" s="15">
        <v>443</v>
      </c>
      <c r="G92" s="24" t="s">
        <v>6</v>
      </c>
      <c r="H92" s="18">
        <v>1</v>
      </c>
      <c r="I92" s="19"/>
      <c r="J92" s="19">
        <v>439.35</v>
      </c>
      <c r="K92" s="19">
        <f t="shared" si="1"/>
        <v>4.3500000000000227</v>
      </c>
      <c r="L92" s="18"/>
      <c r="M92" s="18"/>
      <c r="N92" s="18"/>
      <c r="O92" s="26" t="s">
        <v>1036</v>
      </c>
    </row>
    <row r="93" spans="1:15" ht="15" x14ac:dyDescent="0.25">
      <c r="A93">
        <v>91</v>
      </c>
      <c r="B93" s="7" t="s">
        <v>108</v>
      </c>
      <c r="C93" s="13" t="s">
        <v>1110</v>
      </c>
      <c r="D93" s="14" t="s">
        <v>8</v>
      </c>
      <c r="E93" s="16">
        <v>435</v>
      </c>
      <c r="F93" s="15">
        <v>443</v>
      </c>
      <c r="G93" s="17" t="s">
        <v>6</v>
      </c>
      <c r="H93" s="18">
        <v>1</v>
      </c>
      <c r="I93" s="19"/>
      <c r="J93" s="19">
        <v>439.35</v>
      </c>
      <c r="K93" s="19">
        <f t="shared" si="1"/>
        <v>4.3500000000000227</v>
      </c>
      <c r="L93" s="18"/>
      <c r="M93" s="18"/>
      <c r="N93" s="18"/>
      <c r="O93" s="26" t="s">
        <v>1036</v>
      </c>
    </row>
    <row r="94" spans="1:15" ht="15" x14ac:dyDescent="0.25">
      <c r="A94">
        <v>92</v>
      </c>
      <c r="B94" s="8" t="s">
        <v>109</v>
      </c>
      <c r="C94" s="21" t="s">
        <v>1092</v>
      </c>
      <c r="D94" s="22" t="s">
        <v>8</v>
      </c>
      <c r="E94" s="15">
        <v>30</v>
      </c>
      <c r="F94" s="23">
        <v>30</v>
      </c>
      <c r="G94" s="24" t="s">
        <v>6</v>
      </c>
      <c r="H94" s="18">
        <v>9</v>
      </c>
      <c r="I94" s="19">
        <f>VLOOKUP(B94,[1]Лист2!$A:$J,10,0)</f>
        <v>16.745000000000001</v>
      </c>
      <c r="J94" s="19">
        <v>28.799999999999997</v>
      </c>
      <c r="K94" s="19">
        <f t="shared" si="1"/>
        <v>-1.2000000000000028</v>
      </c>
      <c r="L94" s="18"/>
      <c r="M94" s="18"/>
      <c r="N94" s="18"/>
      <c r="O94" s="26" t="s">
        <v>1036</v>
      </c>
    </row>
    <row r="95" spans="1:15" ht="15" x14ac:dyDescent="0.25">
      <c r="A95">
        <v>93</v>
      </c>
      <c r="B95" s="7" t="s">
        <v>110</v>
      </c>
      <c r="C95" s="13" t="s">
        <v>1111</v>
      </c>
      <c r="D95" s="14" t="s">
        <v>111</v>
      </c>
      <c r="E95" s="15">
        <v>416</v>
      </c>
      <c r="F95" s="16">
        <v>339.46</v>
      </c>
      <c r="G95" s="17" t="s">
        <v>78</v>
      </c>
      <c r="H95" s="18">
        <v>1</v>
      </c>
      <c r="I95" s="19"/>
      <c r="J95" s="19">
        <v>420.16</v>
      </c>
      <c r="K95" s="19">
        <f t="shared" si="1"/>
        <v>4.160000000000025</v>
      </c>
      <c r="L95" s="18"/>
      <c r="M95" s="18"/>
      <c r="N95" s="18"/>
      <c r="O95" s="26" t="s">
        <v>1036</v>
      </c>
    </row>
    <row r="96" spans="1:15" ht="15" x14ac:dyDescent="0.25">
      <c r="A96">
        <v>94</v>
      </c>
      <c r="B96" s="8" t="s">
        <v>112</v>
      </c>
      <c r="C96" s="21" t="s">
        <v>1078</v>
      </c>
      <c r="D96" s="22" t="s">
        <v>8</v>
      </c>
      <c r="E96" s="15">
        <v>86</v>
      </c>
      <c r="F96" s="23">
        <v>10.83</v>
      </c>
      <c r="G96" s="24" t="s">
        <v>9</v>
      </c>
      <c r="H96" s="18">
        <v>3</v>
      </c>
      <c r="I96" s="19">
        <f>VLOOKUP(B96,[1]Лист2!$A:$J,10,0)</f>
        <v>7.88</v>
      </c>
      <c r="J96" s="19">
        <v>70</v>
      </c>
      <c r="K96" s="19">
        <f t="shared" si="1"/>
        <v>-16</v>
      </c>
      <c r="L96" s="18"/>
      <c r="M96" s="18"/>
      <c r="N96" s="18"/>
      <c r="O96" s="26" t="s">
        <v>1036</v>
      </c>
    </row>
    <row r="97" spans="1:15" ht="15" x14ac:dyDescent="0.25">
      <c r="A97">
        <v>95</v>
      </c>
      <c r="B97" s="7" t="s">
        <v>112</v>
      </c>
      <c r="C97" s="13" t="s">
        <v>1078</v>
      </c>
      <c r="D97" s="14" t="s">
        <v>8</v>
      </c>
      <c r="E97" s="15">
        <v>43</v>
      </c>
      <c r="F97" s="16">
        <v>10.83</v>
      </c>
      <c r="G97" s="17" t="s">
        <v>9</v>
      </c>
      <c r="H97" s="18">
        <v>1</v>
      </c>
      <c r="I97" s="19">
        <f>VLOOKUP(B97,[1]Лист2!$A:$J,10,0)</f>
        <v>7.88</v>
      </c>
      <c r="J97" s="19">
        <v>10.396799999999999</v>
      </c>
      <c r="K97" s="19">
        <f t="shared" si="1"/>
        <v>-32.603200000000001</v>
      </c>
      <c r="L97" s="18"/>
      <c r="M97" s="18"/>
      <c r="N97" s="18"/>
      <c r="O97" s="26" t="s">
        <v>1036</v>
      </c>
    </row>
    <row r="98" spans="1:15" ht="15" x14ac:dyDescent="0.25">
      <c r="A98">
        <v>96</v>
      </c>
      <c r="B98" s="8" t="s">
        <v>113</v>
      </c>
      <c r="C98" s="21" t="s">
        <v>1112</v>
      </c>
      <c r="D98" s="22" t="s">
        <v>8</v>
      </c>
      <c r="E98" s="23">
        <v>497</v>
      </c>
      <c r="F98" s="15">
        <v>591</v>
      </c>
      <c r="G98" s="24" t="s">
        <v>6</v>
      </c>
      <c r="H98" s="18">
        <v>1</v>
      </c>
      <c r="I98" s="19"/>
      <c r="J98" s="19">
        <v>567.36</v>
      </c>
      <c r="K98" s="19">
        <f t="shared" si="1"/>
        <v>70.360000000000014</v>
      </c>
      <c r="L98" s="18"/>
      <c r="M98" s="18"/>
      <c r="N98" s="18"/>
      <c r="O98" s="26" t="s">
        <v>1036</v>
      </c>
    </row>
    <row r="99" spans="1:15" ht="15" x14ac:dyDescent="0.25">
      <c r="A99">
        <v>97</v>
      </c>
      <c r="B99" s="7" t="s">
        <v>114</v>
      </c>
      <c r="C99" s="13" t="s">
        <v>1102</v>
      </c>
      <c r="D99" s="14" t="s">
        <v>8</v>
      </c>
      <c r="E99" s="16">
        <v>183</v>
      </c>
      <c r="F99" s="15">
        <v>223</v>
      </c>
      <c r="G99" s="17" t="s">
        <v>6</v>
      </c>
      <c r="H99" s="18">
        <v>1</v>
      </c>
      <c r="I99" s="19"/>
      <c r="J99" s="19">
        <v>214.07999999999998</v>
      </c>
      <c r="K99" s="19">
        <f t="shared" si="1"/>
        <v>31.079999999999984</v>
      </c>
      <c r="L99" s="18"/>
      <c r="M99" s="18"/>
      <c r="N99" s="18"/>
      <c r="O99" s="26" t="s">
        <v>1036</v>
      </c>
    </row>
    <row r="100" spans="1:15" ht="15" x14ac:dyDescent="0.25">
      <c r="A100">
        <v>98</v>
      </c>
      <c r="B100" s="8" t="s">
        <v>115</v>
      </c>
      <c r="C100" s="21" t="s">
        <v>1113</v>
      </c>
      <c r="D100" s="22" t="s">
        <v>18</v>
      </c>
      <c r="E100" s="15">
        <v>174</v>
      </c>
      <c r="F100" s="23">
        <v>157</v>
      </c>
      <c r="G100" s="24" t="s">
        <v>6</v>
      </c>
      <c r="H100" s="18">
        <v>1</v>
      </c>
      <c r="I100" s="19"/>
      <c r="J100" s="19">
        <v>175.74</v>
      </c>
      <c r="K100" s="19">
        <f t="shared" si="1"/>
        <v>1.7400000000000091</v>
      </c>
      <c r="L100" s="18"/>
      <c r="M100" s="18"/>
      <c r="N100" s="18"/>
      <c r="O100" s="26" t="s">
        <v>1036</v>
      </c>
    </row>
    <row r="101" spans="1:15" ht="15" x14ac:dyDescent="0.25">
      <c r="A101">
        <v>99</v>
      </c>
      <c r="B101" s="7" t="s">
        <v>116</v>
      </c>
      <c r="C101" s="13" t="s">
        <v>1114</v>
      </c>
      <c r="D101" s="14" t="s">
        <v>18</v>
      </c>
      <c r="E101" s="16">
        <v>911</v>
      </c>
      <c r="F101" s="15">
        <v>1125</v>
      </c>
      <c r="G101" s="17" t="s">
        <v>6</v>
      </c>
      <c r="H101" s="18">
        <v>1</v>
      </c>
      <c r="I101" s="19"/>
      <c r="J101" s="19">
        <v>1080</v>
      </c>
      <c r="K101" s="19">
        <f t="shared" si="1"/>
        <v>169</v>
      </c>
      <c r="L101" s="18"/>
      <c r="M101" s="18"/>
      <c r="N101" s="18"/>
      <c r="O101" s="26" t="s">
        <v>1036</v>
      </c>
    </row>
    <row r="102" spans="1:15" ht="15" x14ac:dyDescent="0.25">
      <c r="A102">
        <v>100</v>
      </c>
      <c r="B102" s="8" t="s">
        <v>117</v>
      </c>
      <c r="C102" s="21" t="s">
        <v>1115</v>
      </c>
      <c r="D102" s="22" t="s">
        <v>18</v>
      </c>
      <c r="E102" s="23">
        <v>237</v>
      </c>
      <c r="F102" s="15">
        <v>300</v>
      </c>
      <c r="G102" s="24" t="s">
        <v>6</v>
      </c>
      <c r="H102" s="18">
        <v>1</v>
      </c>
      <c r="I102" s="19"/>
      <c r="J102" s="19">
        <v>288</v>
      </c>
      <c r="K102" s="19">
        <f t="shared" si="1"/>
        <v>51</v>
      </c>
      <c r="L102" s="18"/>
      <c r="M102" s="18"/>
      <c r="N102" s="18"/>
      <c r="O102" s="26" t="s">
        <v>1036</v>
      </c>
    </row>
    <row r="103" spans="1:15" ht="15" x14ac:dyDescent="0.25">
      <c r="A103">
        <v>101</v>
      </c>
      <c r="B103" s="7" t="s">
        <v>118</v>
      </c>
      <c r="C103" s="13" t="s">
        <v>1116</v>
      </c>
      <c r="D103" s="14" t="s">
        <v>119</v>
      </c>
      <c r="E103" s="15">
        <v>309</v>
      </c>
      <c r="F103" s="16">
        <v>10</v>
      </c>
      <c r="G103" s="17" t="s">
        <v>6</v>
      </c>
      <c r="H103" s="18">
        <v>1</v>
      </c>
      <c r="I103" s="19">
        <f>VLOOKUP(B103,[1]Лист2!$A:$J,10,0)</f>
        <v>2.9550000000000001</v>
      </c>
      <c r="J103" s="19">
        <v>9.6</v>
      </c>
      <c r="K103" s="19">
        <f t="shared" si="1"/>
        <v>-299.39999999999998</v>
      </c>
      <c r="L103" s="18"/>
      <c r="M103" s="18"/>
      <c r="N103" s="18"/>
      <c r="O103" s="26" t="s">
        <v>1036</v>
      </c>
    </row>
    <row r="104" spans="1:15" ht="15" x14ac:dyDescent="0.25">
      <c r="A104">
        <v>102</v>
      </c>
      <c r="B104" s="8" t="s">
        <v>120</v>
      </c>
      <c r="C104" s="21" t="s">
        <v>1117</v>
      </c>
      <c r="D104" s="22" t="s">
        <v>119</v>
      </c>
      <c r="E104" s="15">
        <v>309</v>
      </c>
      <c r="F104" s="23">
        <v>3.42</v>
      </c>
      <c r="G104" s="24" t="s">
        <v>9</v>
      </c>
      <c r="H104" s="18">
        <v>1</v>
      </c>
      <c r="I104" s="19">
        <f>VLOOKUP(B104,[1]Лист2!$A:$J,10,0)</f>
        <v>2.9550000000000001</v>
      </c>
      <c r="J104" s="19">
        <v>50</v>
      </c>
      <c r="K104" s="19">
        <f t="shared" si="1"/>
        <v>-259</v>
      </c>
      <c r="L104" s="18"/>
      <c r="M104" s="18"/>
      <c r="N104" s="18"/>
      <c r="O104" s="26" t="s">
        <v>1036</v>
      </c>
    </row>
    <row r="105" spans="1:15" ht="15" x14ac:dyDescent="0.25">
      <c r="A105">
        <v>103</v>
      </c>
      <c r="B105" s="7" t="s">
        <v>120</v>
      </c>
      <c r="C105" s="13" t="s">
        <v>1117</v>
      </c>
      <c r="D105" s="14" t="s">
        <v>119</v>
      </c>
      <c r="E105" s="15">
        <v>309</v>
      </c>
      <c r="F105" s="16">
        <v>3.42</v>
      </c>
      <c r="G105" s="17" t="s">
        <v>9</v>
      </c>
      <c r="H105" s="18">
        <v>1</v>
      </c>
      <c r="I105" s="19">
        <f>VLOOKUP(B105,[1]Лист2!$A:$J,10,0)</f>
        <v>2.9550000000000001</v>
      </c>
      <c r="J105" s="19">
        <v>50</v>
      </c>
      <c r="K105" s="19">
        <f t="shared" si="1"/>
        <v>-259</v>
      </c>
      <c r="L105" s="18"/>
      <c r="M105" s="18"/>
      <c r="N105" s="18"/>
      <c r="O105" s="26" t="s">
        <v>1036</v>
      </c>
    </row>
    <row r="106" spans="1:15" ht="15" x14ac:dyDescent="0.25">
      <c r="A106">
        <v>104</v>
      </c>
      <c r="B106" s="8" t="s">
        <v>120</v>
      </c>
      <c r="C106" s="21" t="s">
        <v>1117</v>
      </c>
      <c r="D106" s="22" t="s">
        <v>119</v>
      </c>
      <c r="E106" s="15">
        <v>309</v>
      </c>
      <c r="F106" s="23">
        <v>3.42</v>
      </c>
      <c r="G106" s="24" t="s">
        <v>9</v>
      </c>
      <c r="H106" s="18">
        <v>1</v>
      </c>
      <c r="I106" s="19">
        <f>VLOOKUP(B106,[1]Лист2!$A:$J,10,0)</f>
        <v>2.9550000000000001</v>
      </c>
      <c r="J106" s="19">
        <v>50</v>
      </c>
      <c r="K106" s="19">
        <f t="shared" si="1"/>
        <v>-259</v>
      </c>
      <c r="L106" s="18"/>
      <c r="M106" s="18"/>
      <c r="N106" s="18"/>
      <c r="O106" s="26" t="s">
        <v>1036</v>
      </c>
    </row>
    <row r="107" spans="1:15" ht="15" x14ac:dyDescent="0.25">
      <c r="A107">
        <v>105</v>
      </c>
      <c r="B107" s="7" t="s">
        <v>121</v>
      </c>
      <c r="C107" s="13" t="s">
        <v>1118</v>
      </c>
      <c r="D107" s="14" t="s">
        <v>18</v>
      </c>
      <c r="E107" s="15">
        <v>33</v>
      </c>
      <c r="F107" s="16">
        <v>6.22</v>
      </c>
      <c r="G107" s="17" t="s">
        <v>9</v>
      </c>
      <c r="H107" s="18">
        <v>8</v>
      </c>
      <c r="I107" s="19">
        <f>VLOOKUP(B107,[1]Лист2!$A:$J,10,0)</f>
        <v>4.9249999999999998</v>
      </c>
      <c r="J107" s="19">
        <v>15</v>
      </c>
      <c r="K107" s="19">
        <f t="shared" si="1"/>
        <v>-18</v>
      </c>
      <c r="L107" s="18"/>
      <c r="M107" s="18"/>
      <c r="N107" s="18"/>
      <c r="O107" s="26" t="s">
        <v>1036</v>
      </c>
    </row>
    <row r="108" spans="1:15" ht="15" x14ac:dyDescent="0.25">
      <c r="A108">
        <v>106</v>
      </c>
      <c r="B108" s="8" t="s">
        <v>121</v>
      </c>
      <c r="C108" s="21" t="s">
        <v>1118</v>
      </c>
      <c r="D108" s="22" t="s">
        <v>18</v>
      </c>
      <c r="E108" s="15">
        <v>36</v>
      </c>
      <c r="F108" s="23">
        <v>6.22</v>
      </c>
      <c r="G108" s="24" t="s">
        <v>9</v>
      </c>
      <c r="H108" s="18">
        <v>8</v>
      </c>
      <c r="I108" s="19">
        <f>VLOOKUP(B108,[1]Лист2!$A:$J,10,0)</f>
        <v>4.9249999999999998</v>
      </c>
      <c r="J108" s="19">
        <v>15</v>
      </c>
      <c r="K108" s="19">
        <f t="shared" si="1"/>
        <v>-21</v>
      </c>
      <c r="L108" s="18"/>
      <c r="M108" s="18"/>
      <c r="N108" s="18"/>
      <c r="O108" s="26" t="s">
        <v>1036</v>
      </c>
    </row>
    <row r="109" spans="1:15" ht="15" x14ac:dyDescent="0.25">
      <c r="A109">
        <v>107</v>
      </c>
      <c r="B109" s="7" t="s">
        <v>122</v>
      </c>
      <c r="C109" s="13" t="s">
        <v>1119</v>
      </c>
      <c r="D109" s="14" t="s">
        <v>123</v>
      </c>
      <c r="E109" s="16">
        <v>22</v>
      </c>
      <c r="F109" s="15">
        <v>50</v>
      </c>
      <c r="G109" s="17" t="s">
        <v>6</v>
      </c>
      <c r="H109" s="18">
        <v>1</v>
      </c>
      <c r="I109" s="19"/>
      <c r="J109" s="19">
        <v>48</v>
      </c>
      <c r="K109" s="19">
        <f t="shared" si="1"/>
        <v>26</v>
      </c>
      <c r="L109" s="18"/>
      <c r="M109" s="18"/>
      <c r="N109" s="18"/>
      <c r="O109" s="26" t="s">
        <v>1036</v>
      </c>
    </row>
    <row r="110" spans="1:15" ht="15" x14ac:dyDescent="0.25">
      <c r="A110">
        <v>108</v>
      </c>
      <c r="B110" s="8" t="s">
        <v>124</v>
      </c>
      <c r="C110" s="21" t="s">
        <v>1120</v>
      </c>
      <c r="D110" s="22" t="s">
        <v>5</v>
      </c>
      <c r="E110" s="15">
        <v>298</v>
      </c>
      <c r="F110" s="23">
        <v>85</v>
      </c>
      <c r="G110" s="24" t="s">
        <v>6</v>
      </c>
      <c r="H110" s="18">
        <v>1</v>
      </c>
      <c r="I110" s="19">
        <f>VLOOKUP(B110,[1]Лист2!$A:$J,10,0)</f>
        <v>65.995000000000005</v>
      </c>
      <c r="J110" s="19">
        <v>81.599999999999994</v>
      </c>
      <c r="K110" s="19">
        <f t="shared" si="1"/>
        <v>-216.4</v>
      </c>
      <c r="L110" s="18"/>
      <c r="M110" s="18"/>
      <c r="N110" s="18"/>
      <c r="O110" s="26" t="s">
        <v>1036</v>
      </c>
    </row>
    <row r="111" spans="1:15" ht="15" x14ac:dyDescent="0.25">
      <c r="A111">
        <v>109</v>
      </c>
      <c r="B111" s="7" t="s">
        <v>125</v>
      </c>
      <c r="C111" s="13" t="s">
        <v>1121</v>
      </c>
      <c r="D111" s="14" t="s">
        <v>8</v>
      </c>
      <c r="E111" s="16">
        <v>155</v>
      </c>
      <c r="F111" s="15">
        <v>190</v>
      </c>
      <c r="G111" s="17" t="s">
        <v>6</v>
      </c>
      <c r="H111" s="18">
        <v>1</v>
      </c>
      <c r="I111" s="19"/>
      <c r="J111" s="19">
        <v>182.4</v>
      </c>
      <c r="K111" s="19">
        <f t="shared" si="1"/>
        <v>27.400000000000006</v>
      </c>
      <c r="L111" s="18"/>
      <c r="M111" s="18"/>
      <c r="N111" s="18"/>
      <c r="O111" s="26" t="s">
        <v>1036</v>
      </c>
    </row>
    <row r="112" spans="1:15" ht="15" x14ac:dyDescent="0.25">
      <c r="A112">
        <v>110</v>
      </c>
      <c r="B112" s="8" t="s">
        <v>126</v>
      </c>
      <c r="C112" s="21" t="s">
        <v>1122</v>
      </c>
      <c r="D112" s="22" t="s">
        <v>8</v>
      </c>
      <c r="E112" s="15">
        <v>625</v>
      </c>
      <c r="F112" s="23">
        <v>192</v>
      </c>
      <c r="G112" s="24" t="s">
        <v>6</v>
      </c>
      <c r="H112" s="18">
        <v>1</v>
      </c>
      <c r="I112" s="19"/>
      <c r="J112" s="19">
        <v>631.25</v>
      </c>
      <c r="K112" s="19">
        <f t="shared" si="1"/>
        <v>6.25</v>
      </c>
      <c r="L112" s="18"/>
      <c r="M112" s="18"/>
      <c r="N112" s="18"/>
      <c r="O112" s="26" t="s">
        <v>1036</v>
      </c>
    </row>
    <row r="113" spans="1:15" ht="15" x14ac:dyDescent="0.25">
      <c r="A113">
        <v>111</v>
      </c>
      <c r="B113" s="7" t="s">
        <v>127</v>
      </c>
      <c r="C113" s="13" t="s">
        <v>1123</v>
      </c>
      <c r="D113" s="14" t="s">
        <v>119</v>
      </c>
      <c r="E113" s="15">
        <v>962</v>
      </c>
      <c r="F113" s="16">
        <v>97.8</v>
      </c>
      <c r="G113" s="17" t="s">
        <v>78</v>
      </c>
      <c r="H113" s="18">
        <v>1</v>
      </c>
      <c r="I113" s="19">
        <f>VLOOKUP(B113,[1]Лист2!$A:$J,10,0)</f>
        <v>6.8949999999999996</v>
      </c>
      <c r="J113" s="19">
        <v>230</v>
      </c>
      <c r="K113" s="19">
        <f t="shared" si="1"/>
        <v>-732</v>
      </c>
      <c r="L113" s="18"/>
      <c r="M113" s="18"/>
      <c r="N113" s="18"/>
      <c r="O113" s="26" t="s">
        <v>1036</v>
      </c>
    </row>
    <row r="114" spans="1:15" ht="15" x14ac:dyDescent="0.25">
      <c r="A114">
        <v>112</v>
      </c>
      <c r="B114" s="8" t="s">
        <v>127</v>
      </c>
      <c r="C114" s="21" t="s">
        <v>1123</v>
      </c>
      <c r="D114" s="22" t="s">
        <v>119</v>
      </c>
      <c r="E114" s="15">
        <v>962</v>
      </c>
      <c r="F114" s="23">
        <v>97.8</v>
      </c>
      <c r="G114" s="24" t="s">
        <v>78</v>
      </c>
      <c r="H114" s="18">
        <v>1</v>
      </c>
      <c r="I114" s="19">
        <f>VLOOKUP(B114,[1]Лист2!$A:$J,10,0)</f>
        <v>6.8949999999999996</v>
      </c>
      <c r="J114" s="19">
        <v>230</v>
      </c>
      <c r="K114" s="19">
        <f t="shared" si="1"/>
        <v>-732</v>
      </c>
      <c r="L114" s="18"/>
      <c r="M114" s="18"/>
      <c r="N114" s="18"/>
      <c r="O114" s="26" t="s">
        <v>1036</v>
      </c>
    </row>
    <row r="115" spans="1:15" ht="15" x14ac:dyDescent="0.25">
      <c r="A115">
        <v>113</v>
      </c>
      <c r="B115" s="7" t="s">
        <v>127</v>
      </c>
      <c r="C115" s="13" t="s">
        <v>1123</v>
      </c>
      <c r="D115" s="14" t="s">
        <v>119</v>
      </c>
      <c r="E115" s="15">
        <v>962</v>
      </c>
      <c r="F115" s="16">
        <v>97.8</v>
      </c>
      <c r="G115" s="17" t="s">
        <v>78</v>
      </c>
      <c r="H115" s="18">
        <v>1</v>
      </c>
      <c r="I115" s="19">
        <f>VLOOKUP(B115,[1]Лист2!$A:$J,10,0)</f>
        <v>6.8949999999999996</v>
      </c>
      <c r="J115" s="19">
        <v>230</v>
      </c>
      <c r="K115" s="19">
        <f t="shared" si="1"/>
        <v>-732</v>
      </c>
      <c r="L115" s="18"/>
      <c r="M115" s="18"/>
      <c r="N115" s="18"/>
      <c r="O115" s="26" t="s">
        <v>1036</v>
      </c>
    </row>
    <row r="116" spans="1:15" ht="15" x14ac:dyDescent="0.25">
      <c r="A116">
        <v>114</v>
      </c>
      <c r="B116" s="8" t="s">
        <v>128</v>
      </c>
      <c r="C116" s="21" t="s">
        <v>1124</v>
      </c>
      <c r="D116" s="22" t="s">
        <v>8</v>
      </c>
      <c r="E116" s="23">
        <v>642</v>
      </c>
      <c r="F116" s="15">
        <v>762</v>
      </c>
      <c r="G116" s="24" t="s">
        <v>6</v>
      </c>
      <c r="H116" s="18">
        <v>1</v>
      </c>
      <c r="I116" s="19"/>
      <c r="J116" s="19">
        <v>731.52</v>
      </c>
      <c r="K116" s="19">
        <f t="shared" si="1"/>
        <v>89.519999999999982</v>
      </c>
      <c r="L116" s="18"/>
      <c r="M116" s="18"/>
      <c r="N116" s="18"/>
      <c r="O116" s="26" t="s">
        <v>1036</v>
      </c>
    </row>
    <row r="117" spans="1:15" ht="15" x14ac:dyDescent="0.25">
      <c r="A117">
        <v>115</v>
      </c>
      <c r="B117" s="7" t="s">
        <v>129</v>
      </c>
      <c r="C117" s="13" t="s">
        <v>1125</v>
      </c>
      <c r="D117" s="14" t="s">
        <v>8</v>
      </c>
      <c r="E117" s="15">
        <v>995</v>
      </c>
      <c r="F117" s="16">
        <v>238</v>
      </c>
      <c r="G117" s="17" t="s">
        <v>6</v>
      </c>
      <c r="H117" s="18">
        <v>5</v>
      </c>
      <c r="I117" s="19">
        <f>VLOOKUP(B117,[1]Лист2!$A:$J,10,0)</f>
        <v>242.31</v>
      </c>
      <c r="J117" s="19">
        <v>244.73310000000001</v>
      </c>
      <c r="K117" s="19">
        <f t="shared" si="1"/>
        <v>-750.26689999999996</v>
      </c>
      <c r="L117" s="18"/>
      <c r="M117" s="18"/>
      <c r="N117" s="18"/>
      <c r="O117" s="26" t="s">
        <v>1036</v>
      </c>
    </row>
    <row r="118" spans="1:15" ht="15" x14ac:dyDescent="0.25">
      <c r="A118">
        <v>116</v>
      </c>
      <c r="B118" s="8" t="s">
        <v>130</v>
      </c>
      <c r="C118" s="21" t="s">
        <v>1126</v>
      </c>
      <c r="D118" s="22" t="s">
        <v>8</v>
      </c>
      <c r="E118" s="15">
        <v>995</v>
      </c>
      <c r="F118" s="23">
        <v>297</v>
      </c>
      <c r="G118" s="24" t="s">
        <v>6</v>
      </c>
      <c r="H118" s="18">
        <v>3</v>
      </c>
      <c r="I118" s="19">
        <f>VLOOKUP(B118,[1]Лист2!$A:$J,10,0)</f>
        <v>304.36500000000001</v>
      </c>
      <c r="J118" s="19">
        <v>307.40865000000002</v>
      </c>
      <c r="K118" s="19">
        <f t="shared" si="1"/>
        <v>-687.59134999999992</v>
      </c>
      <c r="L118" s="18"/>
      <c r="M118" s="18"/>
      <c r="N118" s="18"/>
      <c r="O118" s="26" t="s">
        <v>1036</v>
      </c>
    </row>
    <row r="119" spans="1:15" ht="15" x14ac:dyDescent="0.25">
      <c r="A119">
        <v>117</v>
      </c>
      <c r="B119" s="7" t="s">
        <v>131</v>
      </c>
      <c r="C119" s="13" t="s">
        <v>1127</v>
      </c>
      <c r="D119" s="14" t="s">
        <v>8</v>
      </c>
      <c r="E119" s="16">
        <v>973</v>
      </c>
      <c r="F119" s="15">
        <v>1149</v>
      </c>
      <c r="G119" s="17" t="s">
        <v>6</v>
      </c>
      <c r="H119" s="18">
        <v>1</v>
      </c>
      <c r="I119" s="19"/>
      <c r="J119" s="19">
        <v>1103.04</v>
      </c>
      <c r="K119" s="19">
        <f t="shared" si="1"/>
        <v>130.03999999999996</v>
      </c>
      <c r="L119" s="18"/>
      <c r="M119" s="18"/>
      <c r="N119" s="18"/>
      <c r="O119" s="26" t="s">
        <v>1036</v>
      </c>
    </row>
    <row r="120" spans="1:15" ht="15" x14ac:dyDescent="0.25">
      <c r="A120">
        <v>118</v>
      </c>
      <c r="B120" s="8" t="s">
        <v>132</v>
      </c>
      <c r="C120" s="21" t="s">
        <v>1128</v>
      </c>
      <c r="D120" s="22" t="s">
        <v>8</v>
      </c>
      <c r="E120" s="15">
        <v>110</v>
      </c>
      <c r="F120" s="23">
        <v>24</v>
      </c>
      <c r="G120" s="24" t="s">
        <v>6</v>
      </c>
      <c r="H120" s="18">
        <v>1</v>
      </c>
      <c r="I120" s="19">
        <f>VLOOKUP(B120,[1]Лист2!$A:$J,10,0)</f>
        <v>18.715</v>
      </c>
      <c r="J120" s="19">
        <v>50</v>
      </c>
      <c r="K120" s="19">
        <f t="shared" si="1"/>
        <v>-60</v>
      </c>
      <c r="L120" s="18"/>
      <c r="M120" s="18"/>
      <c r="N120" s="18"/>
      <c r="O120" s="26" t="s">
        <v>1036</v>
      </c>
    </row>
    <row r="121" spans="1:15" ht="15" x14ac:dyDescent="0.25">
      <c r="A121">
        <v>119</v>
      </c>
      <c r="B121" s="7" t="s">
        <v>133</v>
      </c>
      <c r="C121" s="13" t="s">
        <v>1129</v>
      </c>
      <c r="D121" s="14" t="s">
        <v>8</v>
      </c>
      <c r="E121" s="16">
        <v>455</v>
      </c>
      <c r="F121" s="15">
        <v>542</v>
      </c>
      <c r="G121" s="17" t="s">
        <v>6</v>
      </c>
      <c r="H121" s="18">
        <v>1</v>
      </c>
      <c r="I121" s="19"/>
      <c r="J121" s="19">
        <v>520.31999999999994</v>
      </c>
      <c r="K121" s="19">
        <f t="shared" si="1"/>
        <v>65.319999999999936</v>
      </c>
      <c r="L121" s="18"/>
      <c r="M121" s="18"/>
      <c r="N121" s="18"/>
      <c r="O121" s="26" t="s">
        <v>1036</v>
      </c>
    </row>
    <row r="122" spans="1:15" ht="15" x14ac:dyDescent="0.25">
      <c r="A122">
        <v>120</v>
      </c>
      <c r="B122" s="8" t="s">
        <v>134</v>
      </c>
      <c r="C122" s="21" t="s">
        <v>1130</v>
      </c>
      <c r="D122" s="22" t="s">
        <v>8</v>
      </c>
      <c r="E122" s="15">
        <v>385</v>
      </c>
      <c r="F122" s="23">
        <v>298</v>
      </c>
      <c r="G122" s="24" t="s">
        <v>6</v>
      </c>
      <c r="H122" s="18">
        <v>1</v>
      </c>
      <c r="I122" s="19">
        <f>VLOOKUP(B122,[1]Лист2!$A:$J,10,0)</f>
        <v>298.45499999999998</v>
      </c>
      <c r="J122" s="19">
        <v>301.43955</v>
      </c>
      <c r="K122" s="19">
        <f t="shared" si="1"/>
        <v>-83.560450000000003</v>
      </c>
      <c r="L122" s="18"/>
      <c r="M122" s="18"/>
      <c r="N122" s="18"/>
      <c r="O122" s="26" t="s">
        <v>1036</v>
      </c>
    </row>
    <row r="123" spans="1:15" ht="15" x14ac:dyDescent="0.25">
      <c r="A123">
        <v>121</v>
      </c>
      <c r="B123" s="7" t="s">
        <v>135</v>
      </c>
      <c r="C123" s="13" t="s">
        <v>1131</v>
      </c>
      <c r="D123" s="14" t="s">
        <v>111</v>
      </c>
      <c r="E123" s="15">
        <v>879</v>
      </c>
      <c r="F123" s="16">
        <v>349</v>
      </c>
      <c r="G123" s="17" t="s">
        <v>136</v>
      </c>
      <c r="H123" s="18">
        <v>1</v>
      </c>
      <c r="I123" s="19">
        <f>VLOOKUP(B123,[1]Лист2!$A:$J,10,0)</f>
        <v>408.77499999999998</v>
      </c>
      <c r="J123" s="29">
        <v>412.86275000000001</v>
      </c>
      <c r="K123" s="19">
        <f t="shared" si="1"/>
        <v>-466.13724999999999</v>
      </c>
      <c r="L123" s="18"/>
      <c r="M123" s="18"/>
      <c r="N123" s="18"/>
      <c r="O123" s="26" t="s">
        <v>1036</v>
      </c>
    </row>
    <row r="124" spans="1:15" ht="15" x14ac:dyDescent="0.25">
      <c r="A124">
        <v>122</v>
      </c>
      <c r="B124" s="8" t="s">
        <v>135</v>
      </c>
      <c r="C124" s="21" t="s">
        <v>1131</v>
      </c>
      <c r="D124" s="22" t="s">
        <v>111</v>
      </c>
      <c r="E124" s="15">
        <v>887</v>
      </c>
      <c r="F124" s="23">
        <v>349</v>
      </c>
      <c r="G124" s="24" t="s">
        <v>136</v>
      </c>
      <c r="H124" s="18">
        <v>2</v>
      </c>
      <c r="I124" s="19">
        <f>VLOOKUP(B124,[1]Лист2!$A:$J,10,0)</f>
        <v>408.77499999999998</v>
      </c>
      <c r="J124" s="29">
        <v>412.86275000000001</v>
      </c>
      <c r="K124" s="19">
        <f t="shared" si="1"/>
        <v>-474.13724999999999</v>
      </c>
      <c r="L124" s="18"/>
      <c r="M124" s="18"/>
      <c r="N124" s="18"/>
      <c r="O124" s="26" t="s">
        <v>1036</v>
      </c>
    </row>
    <row r="125" spans="1:15" ht="15" x14ac:dyDescent="0.25">
      <c r="A125">
        <v>123</v>
      </c>
      <c r="B125" s="7" t="s">
        <v>137</v>
      </c>
      <c r="C125" s="13" t="s">
        <v>1132</v>
      </c>
      <c r="D125" s="14" t="s">
        <v>111</v>
      </c>
      <c r="E125" s="15">
        <v>879</v>
      </c>
      <c r="F125" s="16">
        <v>548.87</v>
      </c>
      <c r="G125" s="17" t="s">
        <v>9</v>
      </c>
      <c r="H125" s="18">
        <v>1</v>
      </c>
      <c r="I125" s="19">
        <f>VLOOKUP(B125,[1]Лист2!$A:$J,10,0)</f>
        <v>168.435</v>
      </c>
      <c r="J125" s="19">
        <v>526.91520000000003</v>
      </c>
      <c r="K125" s="19">
        <f t="shared" si="1"/>
        <v>-352.08479999999997</v>
      </c>
      <c r="L125" s="18"/>
      <c r="M125" s="18"/>
      <c r="N125" s="18"/>
      <c r="O125" s="26" t="s">
        <v>1036</v>
      </c>
    </row>
    <row r="126" spans="1:15" ht="15" x14ac:dyDescent="0.25">
      <c r="A126">
        <v>124</v>
      </c>
      <c r="B126" s="8" t="s">
        <v>137</v>
      </c>
      <c r="C126" s="21" t="s">
        <v>1132</v>
      </c>
      <c r="D126" s="22" t="s">
        <v>111</v>
      </c>
      <c r="E126" s="15">
        <v>887</v>
      </c>
      <c r="F126" s="23">
        <v>548.87</v>
      </c>
      <c r="G126" s="24" t="s">
        <v>9</v>
      </c>
      <c r="H126" s="18">
        <v>2</v>
      </c>
      <c r="I126" s="19">
        <f>VLOOKUP(B126,[1]Лист2!$A:$J,10,0)</f>
        <v>168.435</v>
      </c>
      <c r="J126" s="19">
        <v>526.91520000000003</v>
      </c>
      <c r="K126" s="19">
        <f t="shared" si="1"/>
        <v>-360.08479999999997</v>
      </c>
      <c r="L126" s="18"/>
      <c r="M126" s="18"/>
      <c r="N126" s="18"/>
      <c r="O126" s="26" t="s">
        <v>1036</v>
      </c>
    </row>
    <row r="127" spans="1:15" ht="15" x14ac:dyDescent="0.25">
      <c r="A127">
        <v>125</v>
      </c>
      <c r="B127" s="7" t="s">
        <v>138</v>
      </c>
      <c r="C127" s="13" t="s">
        <v>1133</v>
      </c>
      <c r="D127" s="14" t="s">
        <v>111</v>
      </c>
      <c r="E127" s="15">
        <v>314</v>
      </c>
      <c r="F127" s="16">
        <v>50</v>
      </c>
      <c r="G127" s="17" t="s">
        <v>6</v>
      </c>
      <c r="H127" s="18">
        <v>1</v>
      </c>
      <c r="I127" s="19">
        <f>VLOOKUP(B127,[1]Лист2!$A:$J,10,0)</f>
        <v>46.295000000000002</v>
      </c>
      <c r="J127" s="19">
        <v>75</v>
      </c>
      <c r="K127" s="19">
        <f t="shared" si="1"/>
        <v>-239</v>
      </c>
      <c r="L127" s="18"/>
      <c r="M127" s="18"/>
      <c r="N127" s="18"/>
      <c r="O127" s="26" t="s">
        <v>1036</v>
      </c>
    </row>
    <row r="128" spans="1:15" ht="15" x14ac:dyDescent="0.25">
      <c r="A128">
        <v>126</v>
      </c>
      <c r="B128" s="8" t="s">
        <v>138</v>
      </c>
      <c r="C128" s="21" t="s">
        <v>1133</v>
      </c>
      <c r="D128" s="22" t="s">
        <v>111</v>
      </c>
      <c r="E128" s="15">
        <v>314</v>
      </c>
      <c r="F128" s="23">
        <v>50</v>
      </c>
      <c r="G128" s="24" t="s">
        <v>6</v>
      </c>
      <c r="H128" s="18">
        <v>1</v>
      </c>
      <c r="I128" s="19">
        <f>VLOOKUP(B128,[1]Лист2!$A:$J,10,0)</f>
        <v>46.295000000000002</v>
      </c>
      <c r="J128" s="19">
        <v>75</v>
      </c>
      <c r="K128" s="19">
        <f t="shared" si="1"/>
        <v>-239</v>
      </c>
      <c r="L128" s="18"/>
      <c r="M128" s="18"/>
      <c r="N128" s="18"/>
      <c r="O128" s="26" t="s">
        <v>1036</v>
      </c>
    </row>
    <row r="129" spans="1:15" ht="15" x14ac:dyDescent="0.25">
      <c r="A129">
        <v>127</v>
      </c>
      <c r="B129" s="7" t="s">
        <v>138</v>
      </c>
      <c r="C129" s="13" t="s">
        <v>1133</v>
      </c>
      <c r="D129" s="14" t="s">
        <v>111</v>
      </c>
      <c r="E129" s="15">
        <v>314</v>
      </c>
      <c r="F129" s="16">
        <v>50</v>
      </c>
      <c r="G129" s="17" t="s">
        <v>6</v>
      </c>
      <c r="H129" s="18">
        <v>2</v>
      </c>
      <c r="I129" s="19">
        <f>VLOOKUP(B129,[1]Лист2!$A:$J,10,0)</f>
        <v>46.295000000000002</v>
      </c>
      <c r="J129" s="19">
        <v>75</v>
      </c>
      <c r="K129" s="19">
        <f t="shared" si="1"/>
        <v>-239</v>
      </c>
      <c r="L129" s="18"/>
      <c r="M129" s="18"/>
      <c r="N129" s="18"/>
      <c r="O129" s="26" t="s">
        <v>1036</v>
      </c>
    </row>
    <row r="130" spans="1:15" ht="15" x14ac:dyDescent="0.25">
      <c r="A130">
        <v>128</v>
      </c>
      <c r="B130" s="8" t="s">
        <v>139</v>
      </c>
      <c r="C130" s="21" t="s">
        <v>1134</v>
      </c>
      <c r="D130" s="22" t="s">
        <v>22</v>
      </c>
      <c r="E130" s="15">
        <v>486</v>
      </c>
      <c r="F130" s="23">
        <v>247</v>
      </c>
      <c r="G130" s="24" t="s">
        <v>6</v>
      </c>
      <c r="H130" s="18">
        <v>1</v>
      </c>
      <c r="I130" s="19">
        <f>VLOOKUP(B130,[1]Лист2!$A:$J,10,0)</f>
        <v>245.26499999999999</v>
      </c>
      <c r="J130" s="29">
        <v>247.71764999999999</v>
      </c>
      <c r="K130" s="19">
        <f t="shared" si="1"/>
        <v>-238.28235000000001</v>
      </c>
      <c r="L130" s="18"/>
      <c r="M130" s="18"/>
      <c r="N130" s="18"/>
      <c r="O130" s="26" t="s">
        <v>1036</v>
      </c>
    </row>
    <row r="131" spans="1:15" ht="15" x14ac:dyDescent="0.25">
      <c r="A131">
        <v>129</v>
      </c>
      <c r="B131" s="7" t="s">
        <v>140</v>
      </c>
      <c r="C131" s="13" t="s">
        <v>1135</v>
      </c>
      <c r="D131" s="14" t="s">
        <v>24</v>
      </c>
      <c r="E131" s="16">
        <v>662</v>
      </c>
      <c r="F131" s="15">
        <v>890</v>
      </c>
      <c r="G131" s="17" t="s">
        <v>6</v>
      </c>
      <c r="H131" s="18">
        <v>2</v>
      </c>
      <c r="I131" s="19"/>
      <c r="J131" s="19">
        <v>854.4</v>
      </c>
      <c r="K131" s="19">
        <f t="shared" ref="K131:K194" si="2">J131-E131</f>
        <v>192.39999999999998</v>
      </c>
      <c r="L131" s="18"/>
      <c r="M131" s="18"/>
      <c r="N131" s="18"/>
      <c r="O131" s="26" t="s">
        <v>1036</v>
      </c>
    </row>
    <row r="132" spans="1:15" ht="15" x14ac:dyDescent="0.25">
      <c r="A132">
        <v>130</v>
      </c>
      <c r="B132" s="8" t="s">
        <v>141</v>
      </c>
      <c r="C132" s="21" t="s">
        <v>1136</v>
      </c>
      <c r="D132" s="22" t="s">
        <v>8</v>
      </c>
      <c r="E132" s="15">
        <v>30</v>
      </c>
      <c r="F132" s="23">
        <v>16.989999999999998</v>
      </c>
      <c r="G132" s="24" t="s">
        <v>9</v>
      </c>
      <c r="H132" s="18">
        <v>3</v>
      </c>
      <c r="I132" s="19">
        <f>VLOOKUP(B132,[1]Лист2!$A:$J,10,0)</f>
        <v>5.91</v>
      </c>
      <c r="J132" s="19">
        <v>16.310399999999998</v>
      </c>
      <c r="K132" s="19">
        <f t="shared" si="2"/>
        <v>-13.689600000000002</v>
      </c>
      <c r="L132" s="18"/>
      <c r="M132" s="18"/>
      <c r="N132" s="18"/>
      <c r="O132" s="26" t="s">
        <v>1036</v>
      </c>
    </row>
    <row r="133" spans="1:15" ht="15" x14ac:dyDescent="0.25">
      <c r="A133">
        <v>131</v>
      </c>
      <c r="B133" s="7" t="s">
        <v>141</v>
      </c>
      <c r="C133" s="13" t="s">
        <v>1136</v>
      </c>
      <c r="D133" s="14" t="s">
        <v>8</v>
      </c>
      <c r="E133" s="15">
        <v>30</v>
      </c>
      <c r="F133" s="16">
        <v>16.989999999999998</v>
      </c>
      <c r="G133" s="17" t="s">
        <v>9</v>
      </c>
      <c r="H133" s="18">
        <v>25</v>
      </c>
      <c r="I133" s="19">
        <f>VLOOKUP(B133,[1]Лист2!$A:$J,10,0)</f>
        <v>5.91</v>
      </c>
      <c r="J133" s="19">
        <v>16.310399999999998</v>
      </c>
      <c r="K133" s="19">
        <f t="shared" si="2"/>
        <v>-13.689600000000002</v>
      </c>
      <c r="L133" s="18"/>
      <c r="M133" s="18"/>
      <c r="N133" s="18"/>
      <c r="O133" s="26" t="s">
        <v>1036</v>
      </c>
    </row>
    <row r="134" spans="1:15" ht="15" x14ac:dyDescent="0.25">
      <c r="A134">
        <v>132</v>
      </c>
      <c r="B134" s="8" t="s">
        <v>142</v>
      </c>
      <c r="C134" s="21" t="s">
        <v>1137</v>
      </c>
      <c r="D134" s="22" t="s">
        <v>8</v>
      </c>
      <c r="E134" s="15">
        <v>289</v>
      </c>
      <c r="F134" s="23">
        <v>84</v>
      </c>
      <c r="G134" s="24" t="s">
        <v>6</v>
      </c>
      <c r="H134" s="18">
        <v>1</v>
      </c>
      <c r="I134" s="19">
        <f>VLOOKUP(B134,[1]Лист2!$A:$J,10,0)</f>
        <v>64.025000000000006</v>
      </c>
      <c r="J134" s="19">
        <v>80.64</v>
      </c>
      <c r="K134" s="19">
        <f t="shared" si="2"/>
        <v>-208.36</v>
      </c>
      <c r="L134" s="18"/>
      <c r="M134" s="18"/>
      <c r="N134" s="18"/>
      <c r="O134" s="26" t="s">
        <v>1036</v>
      </c>
    </row>
    <row r="135" spans="1:15" ht="15" x14ac:dyDescent="0.25">
      <c r="A135">
        <v>133</v>
      </c>
      <c r="B135" s="7" t="s">
        <v>143</v>
      </c>
      <c r="C135" s="13" t="s">
        <v>1138</v>
      </c>
      <c r="D135" s="14" t="s">
        <v>8</v>
      </c>
      <c r="E135" s="15">
        <v>35</v>
      </c>
      <c r="F135" s="16">
        <v>34</v>
      </c>
      <c r="G135" s="17" t="s">
        <v>6</v>
      </c>
      <c r="H135" s="18">
        <v>16</v>
      </c>
      <c r="I135" s="19">
        <f>VLOOKUP(B135,[1]Лист2!$A:$J,10,0)</f>
        <v>29.55</v>
      </c>
      <c r="J135" s="19">
        <v>32.64</v>
      </c>
      <c r="K135" s="19">
        <f t="shared" si="2"/>
        <v>-2.3599999999999994</v>
      </c>
      <c r="L135" s="18"/>
      <c r="M135" s="18"/>
      <c r="N135" s="18"/>
      <c r="O135" s="26" t="s">
        <v>1036</v>
      </c>
    </row>
    <row r="136" spans="1:15" ht="15" x14ac:dyDescent="0.25">
      <c r="A136">
        <v>134</v>
      </c>
      <c r="B136" s="8" t="s">
        <v>144</v>
      </c>
      <c r="C136" s="21" t="s">
        <v>1139</v>
      </c>
      <c r="D136" s="22" t="s">
        <v>8</v>
      </c>
      <c r="E136" s="23">
        <v>739</v>
      </c>
      <c r="F136" s="15">
        <v>875</v>
      </c>
      <c r="G136" s="24" t="s">
        <v>6</v>
      </c>
      <c r="H136" s="18">
        <v>4</v>
      </c>
      <c r="I136" s="19"/>
      <c r="J136" s="19">
        <v>840</v>
      </c>
      <c r="K136" s="19">
        <f t="shared" si="2"/>
        <v>101</v>
      </c>
      <c r="L136" s="18"/>
      <c r="M136" s="18"/>
      <c r="N136" s="18"/>
      <c r="O136" s="26" t="s">
        <v>1036</v>
      </c>
    </row>
    <row r="137" spans="1:15" ht="15" x14ac:dyDescent="0.25">
      <c r="A137">
        <v>135</v>
      </c>
      <c r="B137" s="7" t="s">
        <v>145</v>
      </c>
      <c r="C137" s="13" t="s">
        <v>1140</v>
      </c>
      <c r="D137" s="14" t="s">
        <v>8</v>
      </c>
      <c r="E137" s="16">
        <v>740</v>
      </c>
      <c r="F137" s="15">
        <v>876</v>
      </c>
      <c r="G137" s="17" t="s">
        <v>6</v>
      </c>
      <c r="H137" s="18">
        <v>4</v>
      </c>
      <c r="I137" s="19"/>
      <c r="J137" s="19">
        <v>840.95999999999992</v>
      </c>
      <c r="K137" s="19">
        <f t="shared" si="2"/>
        <v>100.95999999999992</v>
      </c>
      <c r="L137" s="18"/>
      <c r="M137" s="18"/>
      <c r="N137" s="18"/>
      <c r="O137" s="26" t="s">
        <v>1036</v>
      </c>
    </row>
    <row r="138" spans="1:15" ht="15" x14ac:dyDescent="0.25">
      <c r="A138">
        <v>136</v>
      </c>
      <c r="B138" s="8" t="s">
        <v>146</v>
      </c>
      <c r="C138" s="21" t="s">
        <v>1141</v>
      </c>
      <c r="D138" s="22" t="s">
        <v>8</v>
      </c>
      <c r="E138" s="15">
        <v>851</v>
      </c>
      <c r="F138" s="23">
        <v>260</v>
      </c>
      <c r="G138" s="24" t="s">
        <v>6</v>
      </c>
      <c r="H138" s="18">
        <v>1</v>
      </c>
      <c r="I138" s="19">
        <f>VLOOKUP(B138,[1]Лист2!$A:$J,10,0)</f>
        <v>260.04000000000002</v>
      </c>
      <c r="J138" s="29">
        <v>262.6404</v>
      </c>
      <c r="K138" s="19">
        <f t="shared" si="2"/>
        <v>-588.3596</v>
      </c>
      <c r="L138" s="18"/>
      <c r="M138" s="18"/>
      <c r="N138" s="18"/>
      <c r="O138" s="26" t="s">
        <v>1036</v>
      </c>
    </row>
    <row r="139" spans="1:15" ht="15" x14ac:dyDescent="0.25">
      <c r="A139">
        <v>137</v>
      </c>
      <c r="B139" s="7" t="s">
        <v>147</v>
      </c>
      <c r="C139" s="13" t="s">
        <v>1142</v>
      </c>
      <c r="D139" s="14" t="s">
        <v>8</v>
      </c>
      <c r="E139" s="15">
        <v>510</v>
      </c>
      <c r="F139" s="16">
        <v>401</v>
      </c>
      <c r="G139" s="17" t="s">
        <v>6</v>
      </c>
      <c r="H139" s="18">
        <v>1</v>
      </c>
      <c r="I139" s="19"/>
      <c r="J139" s="19">
        <v>515.1</v>
      </c>
      <c r="K139" s="19">
        <f t="shared" si="2"/>
        <v>5.1000000000000227</v>
      </c>
      <c r="L139" s="18"/>
      <c r="M139" s="18"/>
      <c r="N139" s="18"/>
      <c r="O139" s="26" t="s">
        <v>1036</v>
      </c>
    </row>
    <row r="140" spans="1:15" ht="15" x14ac:dyDescent="0.25">
      <c r="A140">
        <v>138</v>
      </c>
      <c r="B140" s="8" t="s">
        <v>148</v>
      </c>
      <c r="C140" s="21" t="s">
        <v>1136</v>
      </c>
      <c r="D140" s="22" t="s">
        <v>8</v>
      </c>
      <c r="E140" s="23">
        <v>13</v>
      </c>
      <c r="F140" s="15">
        <v>29</v>
      </c>
      <c r="G140" s="24" t="s">
        <v>6</v>
      </c>
      <c r="H140" s="18">
        <v>1</v>
      </c>
      <c r="I140" s="19"/>
      <c r="J140" s="19">
        <v>27.84</v>
      </c>
      <c r="K140" s="19">
        <f t="shared" si="2"/>
        <v>14.84</v>
      </c>
      <c r="L140" s="18"/>
      <c r="M140" s="18"/>
      <c r="N140" s="18"/>
      <c r="O140" s="26" t="s">
        <v>1036</v>
      </c>
    </row>
    <row r="141" spans="1:15" ht="15" x14ac:dyDescent="0.25">
      <c r="A141">
        <v>139</v>
      </c>
      <c r="B141" s="7" t="s">
        <v>149</v>
      </c>
      <c r="C141" s="13" t="s">
        <v>1136</v>
      </c>
      <c r="D141" s="14" t="s">
        <v>8</v>
      </c>
      <c r="E141" s="16">
        <v>11</v>
      </c>
      <c r="F141" s="15">
        <v>29</v>
      </c>
      <c r="G141" s="17" t="s">
        <v>6</v>
      </c>
      <c r="H141" s="18">
        <v>24</v>
      </c>
      <c r="I141" s="19"/>
      <c r="J141" s="19">
        <v>27.84</v>
      </c>
      <c r="K141" s="19">
        <f t="shared" si="2"/>
        <v>16.84</v>
      </c>
      <c r="L141" s="18"/>
      <c r="M141" s="18"/>
      <c r="N141" s="18"/>
      <c r="O141" s="26" t="s">
        <v>1036</v>
      </c>
    </row>
    <row r="142" spans="1:15" ht="15" x14ac:dyDescent="0.25">
      <c r="A142">
        <v>140</v>
      </c>
      <c r="B142" s="8" t="s">
        <v>150</v>
      </c>
      <c r="C142" s="21" t="s">
        <v>1143</v>
      </c>
      <c r="D142" s="22" t="s">
        <v>24</v>
      </c>
      <c r="E142" s="23">
        <v>65</v>
      </c>
      <c r="F142" s="15">
        <v>82</v>
      </c>
      <c r="G142" s="24" t="s">
        <v>6</v>
      </c>
      <c r="H142" s="18">
        <v>1</v>
      </c>
      <c r="I142" s="19"/>
      <c r="J142" s="19">
        <v>78.72</v>
      </c>
      <c r="K142" s="19">
        <f t="shared" si="2"/>
        <v>13.719999999999999</v>
      </c>
      <c r="L142" s="18"/>
      <c r="M142" s="18"/>
      <c r="N142" s="18"/>
      <c r="O142" s="26" t="s">
        <v>1036</v>
      </c>
    </row>
    <row r="143" spans="1:15" ht="15" x14ac:dyDescent="0.25">
      <c r="A143">
        <v>141</v>
      </c>
      <c r="B143" s="7" t="s">
        <v>150</v>
      </c>
      <c r="C143" s="13" t="s">
        <v>1143</v>
      </c>
      <c r="D143" s="14" t="s">
        <v>24</v>
      </c>
      <c r="E143" s="16">
        <v>65</v>
      </c>
      <c r="F143" s="15">
        <v>82</v>
      </c>
      <c r="G143" s="17" t="s">
        <v>6</v>
      </c>
      <c r="H143" s="18">
        <v>1</v>
      </c>
      <c r="I143" s="19"/>
      <c r="J143" s="19">
        <v>78.72</v>
      </c>
      <c r="K143" s="19">
        <f t="shared" si="2"/>
        <v>13.719999999999999</v>
      </c>
      <c r="L143" s="18"/>
      <c r="M143" s="18"/>
      <c r="N143" s="18"/>
      <c r="O143" s="26" t="s">
        <v>1036</v>
      </c>
    </row>
    <row r="144" spans="1:15" ht="15" x14ac:dyDescent="0.25">
      <c r="A144">
        <v>142</v>
      </c>
      <c r="B144" s="8" t="s">
        <v>150</v>
      </c>
      <c r="C144" s="21" t="s">
        <v>1143</v>
      </c>
      <c r="D144" s="22" t="s">
        <v>24</v>
      </c>
      <c r="E144" s="23">
        <v>63</v>
      </c>
      <c r="F144" s="15">
        <v>82</v>
      </c>
      <c r="G144" s="24" t="s">
        <v>6</v>
      </c>
      <c r="H144" s="18">
        <v>4</v>
      </c>
      <c r="I144" s="19"/>
      <c r="J144" s="19">
        <v>78.72</v>
      </c>
      <c r="K144" s="19">
        <f t="shared" si="2"/>
        <v>15.719999999999999</v>
      </c>
      <c r="L144" s="18"/>
      <c r="M144" s="18"/>
      <c r="N144" s="18"/>
      <c r="O144" s="26" t="s">
        <v>1036</v>
      </c>
    </row>
    <row r="145" spans="1:15" ht="15" x14ac:dyDescent="0.25">
      <c r="A145">
        <v>143</v>
      </c>
      <c r="B145" s="7" t="s">
        <v>151</v>
      </c>
      <c r="C145" s="13" t="s">
        <v>1144</v>
      </c>
      <c r="D145" s="14" t="s">
        <v>152</v>
      </c>
      <c r="E145" s="15">
        <v>542</v>
      </c>
      <c r="F145" s="16">
        <v>435.32</v>
      </c>
      <c r="G145" s="17" t="s">
        <v>78</v>
      </c>
      <c r="H145" s="18">
        <v>1</v>
      </c>
      <c r="I145" s="19">
        <f>VLOOKUP(B145,[1]Лист2!$A:$J,10,0)</f>
        <v>470.83</v>
      </c>
      <c r="J145" s="29">
        <v>475.53829999999999</v>
      </c>
      <c r="K145" s="19">
        <f t="shared" si="2"/>
        <v>-66.461700000000008</v>
      </c>
      <c r="L145" s="18"/>
      <c r="M145" s="18"/>
      <c r="N145" s="18"/>
      <c r="O145" s="26" t="s">
        <v>1036</v>
      </c>
    </row>
    <row r="146" spans="1:15" ht="15" x14ac:dyDescent="0.25">
      <c r="A146">
        <v>144</v>
      </c>
      <c r="B146" s="8" t="s">
        <v>153</v>
      </c>
      <c r="C146" s="21" t="s">
        <v>1145</v>
      </c>
      <c r="D146" s="22" t="s">
        <v>5</v>
      </c>
      <c r="E146" s="15">
        <v>627</v>
      </c>
      <c r="F146" s="23">
        <v>425</v>
      </c>
      <c r="G146" s="24" t="s">
        <v>6</v>
      </c>
      <c r="H146" s="18">
        <v>1</v>
      </c>
      <c r="I146" s="19"/>
      <c r="J146" s="19">
        <v>633.27</v>
      </c>
      <c r="K146" s="19">
        <f t="shared" si="2"/>
        <v>6.2699999999999818</v>
      </c>
      <c r="L146" s="18"/>
      <c r="M146" s="18"/>
      <c r="N146" s="18"/>
      <c r="O146" s="26" t="s">
        <v>1036</v>
      </c>
    </row>
    <row r="147" spans="1:15" ht="15" x14ac:dyDescent="0.25">
      <c r="A147">
        <v>145</v>
      </c>
      <c r="B147" s="7" t="s">
        <v>154</v>
      </c>
      <c r="C147" s="13" t="s">
        <v>1146</v>
      </c>
      <c r="D147" s="14" t="s">
        <v>5</v>
      </c>
      <c r="E147" s="15">
        <v>917</v>
      </c>
      <c r="F147" s="16">
        <v>571</v>
      </c>
      <c r="G147" s="17" t="s">
        <v>6</v>
      </c>
      <c r="H147" s="18">
        <v>1</v>
      </c>
      <c r="I147" s="19">
        <f>VLOOKUP(B147,[1]Лист2!$A:$J,10,0)</f>
        <v>630.4</v>
      </c>
      <c r="J147" s="29">
        <v>636.70399999999995</v>
      </c>
      <c r="K147" s="19">
        <f t="shared" si="2"/>
        <v>-280.29600000000005</v>
      </c>
      <c r="L147" s="18"/>
      <c r="M147" s="18"/>
      <c r="N147" s="18"/>
      <c r="O147" s="26" t="s">
        <v>1036</v>
      </c>
    </row>
    <row r="148" spans="1:15" ht="15" x14ac:dyDescent="0.25">
      <c r="A148">
        <v>146</v>
      </c>
      <c r="B148" s="8" t="s">
        <v>155</v>
      </c>
      <c r="C148" s="21" t="s">
        <v>1147</v>
      </c>
      <c r="D148" s="22" t="s">
        <v>50</v>
      </c>
      <c r="E148" s="23">
        <v>178</v>
      </c>
      <c r="F148" s="15">
        <v>227</v>
      </c>
      <c r="G148" s="24" t="s">
        <v>6</v>
      </c>
      <c r="H148" s="18">
        <v>2</v>
      </c>
      <c r="I148" s="19"/>
      <c r="J148" s="19">
        <v>217.92</v>
      </c>
      <c r="K148" s="19">
        <f t="shared" si="2"/>
        <v>39.919999999999987</v>
      </c>
      <c r="L148" s="18"/>
      <c r="M148" s="18"/>
      <c r="N148" s="18"/>
      <c r="O148" s="26" t="s">
        <v>1036</v>
      </c>
    </row>
    <row r="149" spans="1:15" ht="15" x14ac:dyDescent="0.25">
      <c r="A149">
        <v>147</v>
      </c>
      <c r="B149" s="7" t="s">
        <v>156</v>
      </c>
      <c r="C149" s="13" t="s">
        <v>1148</v>
      </c>
      <c r="D149" s="14" t="s">
        <v>24</v>
      </c>
      <c r="E149" s="15">
        <v>89</v>
      </c>
      <c r="F149" s="16">
        <v>17.37</v>
      </c>
      <c r="G149" s="17" t="s">
        <v>9</v>
      </c>
      <c r="H149" s="18">
        <v>6</v>
      </c>
      <c r="I149" s="19">
        <f>VLOOKUP(B149,[1]Лист2!$A:$J,10,0)</f>
        <v>11.82</v>
      </c>
      <c r="J149" s="19">
        <v>50</v>
      </c>
      <c r="K149" s="19">
        <f t="shared" si="2"/>
        <v>-39</v>
      </c>
      <c r="L149" s="18"/>
      <c r="M149" s="18"/>
      <c r="N149" s="18"/>
      <c r="O149" s="26" t="s">
        <v>1036</v>
      </c>
    </row>
    <row r="150" spans="1:15" ht="15" x14ac:dyDescent="0.25">
      <c r="A150">
        <v>148</v>
      </c>
      <c r="B150" s="8" t="s">
        <v>157</v>
      </c>
      <c r="C150" s="21" t="s">
        <v>1149</v>
      </c>
      <c r="D150" s="22" t="s">
        <v>24</v>
      </c>
      <c r="E150" s="23">
        <v>78</v>
      </c>
      <c r="F150" s="15">
        <v>114</v>
      </c>
      <c r="G150" s="24" t="s">
        <v>6</v>
      </c>
      <c r="H150" s="18">
        <v>2</v>
      </c>
      <c r="I150" s="19"/>
      <c r="J150" s="19">
        <v>109.44</v>
      </c>
      <c r="K150" s="19">
        <f t="shared" si="2"/>
        <v>31.439999999999998</v>
      </c>
      <c r="L150" s="18"/>
      <c r="M150" s="18"/>
      <c r="N150" s="18"/>
      <c r="O150" s="26" t="s">
        <v>1036</v>
      </c>
    </row>
    <row r="151" spans="1:15" ht="15" x14ac:dyDescent="0.25">
      <c r="A151">
        <v>149</v>
      </c>
      <c r="B151" s="7" t="s">
        <v>158</v>
      </c>
      <c r="C151" s="13" t="s">
        <v>1150</v>
      </c>
      <c r="D151" s="14" t="s">
        <v>24</v>
      </c>
      <c r="E151" s="16">
        <v>149</v>
      </c>
      <c r="F151" s="15">
        <v>208</v>
      </c>
      <c r="G151" s="17" t="s">
        <v>6</v>
      </c>
      <c r="H151" s="18">
        <v>3</v>
      </c>
      <c r="I151" s="19"/>
      <c r="J151" s="19">
        <v>199.68</v>
      </c>
      <c r="K151" s="19">
        <f t="shared" si="2"/>
        <v>50.680000000000007</v>
      </c>
      <c r="L151" s="18"/>
      <c r="M151" s="18"/>
      <c r="N151" s="18"/>
      <c r="O151" s="26" t="s">
        <v>1036</v>
      </c>
    </row>
    <row r="152" spans="1:15" ht="15" x14ac:dyDescent="0.25">
      <c r="A152">
        <v>150</v>
      </c>
      <c r="B152" s="8" t="s">
        <v>159</v>
      </c>
      <c r="C152" s="21" t="s">
        <v>1151</v>
      </c>
      <c r="D152" s="22" t="s">
        <v>24</v>
      </c>
      <c r="E152" s="15">
        <v>162</v>
      </c>
      <c r="F152" s="23">
        <v>154</v>
      </c>
      <c r="G152" s="24" t="s">
        <v>6</v>
      </c>
      <c r="H152" s="18">
        <v>1</v>
      </c>
      <c r="I152" s="19"/>
      <c r="J152" s="19">
        <v>163.62</v>
      </c>
      <c r="K152" s="19">
        <f t="shared" si="2"/>
        <v>1.6200000000000045</v>
      </c>
      <c r="L152" s="18"/>
      <c r="M152" s="18"/>
      <c r="N152" s="18"/>
      <c r="O152" s="26" t="s">
        <v>1036</v>
      </c>
    </row>
    <row r="153" spans="1:15" ht="15" x14ac:dyDescent="0.25">
      <c r="A153">
        <v>151</v>
      </c>
      <c r="B153" s="7" t="s">
        <v>160</v>
      </c>
      <c r="C153" s="13" t="s">
        <v>1152</v>
      </c>
      <c r="D153" s="14" t="s">
        <v>8</v>
      </c>
      <c r="E153" s="15">
        <v>84</v>
      </c>
      <c r="F153" s="16">
        <v>15</v>
      </c>
      <c r="G153" s="17" t="s">
        <v>6</v>
      </c>
      <c r="H153" s="18">
        <v>1</v>
      </c>
      <c r="I153" s="19">
        <f>VLOOKUP(B153,[1]Лист2!$A:$J,10,0)</f>
        <v>36.445</v>
      </c>
      <c r="J153" s="29">
        <v>36.809449999999998</v>
      </c>
      <c r="K153" s="19">
        <f t="shared" si="2"/>
        <v>-47.190550000000002</v>
      </c>
      <c r="L153" s="18"/>
      <c r="M153" s="18"/>
      <c r="N153" s="18"/>
      <c r="O153" s="26" t="s">
        <v>1036</v>
      </c>
    </row>
    <row r="154" spans="1:15" ht="15" x14ac:dyDescent="0.25">
      <c r="A154">
        <v>152</v>
      </c>
      <c r="B154" s="8" t="s">
        <v>160</v>
      </c>
      <c r="C154" s="21" t="s">
        <v>1152</v>
      </c>
      <c r="D154" s="22" t="s">
        <v>8</v>
      </c>
      <c r="E154" s="15">
        <v>88</v>
      </c>
      <c r="F154" s="23">
        <v>15</v>
      </c>
      <c r="G154" s="24" t="s">
        <v>6</v>
      </c>
      <c r="H154" s="18">
        <v>2</v>
      </c>
      <c r="I154" s="19">
        <f>VLOOKUP(B154,[1]Лист2!$A:$J,10,0)</f>
        <v>36.445</v>
      </c>
      <c r="J154" s="29">
        <v>36.809449999999998</v>
      </c>
      <c r="K154" s="19">
        <f t="shared" si="2"/>
        <v>-51.190550000000002</v>
      </c>
      <c r="L154" s="18"/>
      <c r="M154" s="18"/>
      <c r="N154" s="18"/>
      <c r="O154" s="26" t="s">
        <v>1036</v>
      </c>
    </row>
    <row r="155" spans="1:15" ht="15" x14ac:dyDescent="0.25">
      <c r="A155">
        <v>153</v>
      </c>
      <c r="B155" s="7" t="s">
        <v>160</v>
      </c>
      <c r="C155" s="13" t="s">
        <v>1152</v>
      </c>
      <c r="D155" s="14" t="s">
        <v>8</v>
      </c>
      <c r="E155" s="15">
        <v>85</v>
      </c>
      <c r="F155" s="16">
        <v>15</v>
      </c>
      <c r="G155" s="17" t="s">
        <v>6</v>
      </c>
      <c r="H155" s="18">
        <v>30</v>
      </c>
      <c r="I155" s="19">
        <f>VLOOKUP(B155,[1]Лист2!$A:$J,10,0)</f>
        <v>36.445</v>
      </c>
      <c r="J155" s="29">
        <v>36.809449999999998</v>
      </c>
      <c r="K155" s="19">
        <f t="shared" si="2"/>
        <v>-48.190550000000002</v>
      </c>
      <c r="L155" s="18"/>
      <c r="M155" s="18"/>
      <c r="N155" s="18"/>
      <c r="O155" s="26" t="s">
        <v>1036</v>
      </c>
    </row>
    <row r="156" spans="1:15" ht="15" x14ac:dyDescent="0.25">
      <c r="A156">
        <v>154</v>
      </c>
      <c r="B156" s="8" t="s">
        <v>160</v>
      </c>
      <c r="C156" s="21" t="s">
        <v>1152</v>
      </c>
      <c r="D156" s="22" t="s">
        <v>8</v>
      </c>
      <c r="E156" s="15">
        <v>84</v>
      </c>
      <c r="F156" s="23">
        <v>15</v>
      </c>
      <c r="G156" s="24" t="s">
        <v>6</v>
      </c>
      <c r="H156" s="18">
        <v>8</v>
      </c>
      <c r="I156" s="19">
        <f>VLOOKUP(B156,[1]Лист2!$A:$J,10,0)</f>
        <v>36.445</v>
      </c>
      <c r="J156" s="29">
        <v>36.809449999999998</v>
      </c>
      <c r="K156" s="19">
        <f t="shared" si="2"/>
        <v>-47.190550000000002</v>
      </c>
      <c r="L156" s="18"/>
      <c r="M156" s="18"/>
      <c r="N156" s="18"/>
      <c r="O156" s="26" t="s">
        <v>1036</v>
      </c>
    </row>
    <row r="157" spans="1:15" ht="15" x14ac:dyDescent="0.25">
      <c r="A157">
        <v>155</v>
      </c>
      <c r="B157" s="7" t="s">
        <v>160</v>
      </c>
      <c r="C157" s="13" t="s">
        <v>1152</v>
      </c>
      <c r="D157" s="14" t="s">
        <v>8</v>
      </c>
      <c r="E157" s="15">
        <v>84</v>
      </c>
      <c r="F157" s="16">
        <v>15</v>
      </c>
      <c r="G157" s="17" t="s">
        <v>6</v>
      </c>
      <c r="H157" s="18">
        <v>3</v>
      </c>
      <c r="I157" s="19">
        <f>VLOOKUP(B157,[1]Лист2!$A:$J,10,0)</f>
        <v>36.445</v>
      </c>
      <c r="J157" s="29">
        <v>36.809449999999998</v>
      </c>
      <c r="K157" s="19">
        <f t="shared" si="2"/>
        <v>-47.190550000000002</v>
      </c>
      <c r="L157" s="18"/>
      <c r="M157" s="18"/>
      <c r="N157" s="18"/>
      <c r="O157" s="26" t="s">
        <v>1036</v>
      </c>
    </row>
    <row r="158" spans="1:15" ht="15" x14ac:dyDescent="0.25">
      <c r="A158">
        <v>156</v>
      </c>
      <c r="B158" s="8" t="s">
        <v>161</v>
      </c>
      <c r="C158" s="21" t="s">
        <v>1153</v>
      </c>
      <c r="D158" s="22" t="s">
        <v>8</v>
      </c>
      <c r="E158" s="23">
        <v>168</v>
      </c>
      <c r="F158" s="15">
        <v>205</v>
      </c>
      <c r="G158" s="24" t="s">
        <v>6</v>
      </c>
      <c r="H158" s="18">
        <v>1</v>
      </c>
      <c r="I158" s="19"/>
      <c r="J158" s="19">
        <v>196.79999999999998</v>
      </c>
      <c r="K158" s="19">
        <f t="shared" si="2"/>
        <v>28.799999999999983</v>
      </c>
      <c r="L158" s="18"/>
      <c r="M158" s="18"/>
      <c r="N158" s="18"/>
      <c r="O158" s="26" t="s">
        <v>1036</v>
      </c>
    </row>
    <row r="159" spans="1:15" ht="15" x14ac:dyDescent="0.25">
      <c r="A159">
        <v>157</v>
      </c>
      <c r="B159" s="7" t="s">
        <v>162</v>
      </c>
      <c r="C159" s="13" t="s">
        <v>1154</v>
      </c>
      <c r="D159" s="14" t="s">
        <v>8</v>
      </c>
      <c r="E159" s="16">
        <v>70</v>
      </c>
      <c r="F159" s="15">
        <v>93</v>
      </c>
      <c r="G159" s="17" t="s">
        <v>6</v>
      </c>
      <c r="H159" s="18">
        <v>1</v>
      </c>
      <c r="I159" s="19"/>
      <c r="J159" s="19">
        <v>89.28</v>
      </c>
      <c r="K159" s="19">
        <f t="shared" si="2"/>
        <v>19.28</v>
      </c>
      <c r="L159" s="18"/>
      <c r="M159" s="18"/>
      <c r="N159" s="18"/>
      <c r="O159" s="26" t="s">
        <v>1036</v>
      </c>
    </row>
    <row r="160" spans="1:15" ht="15" x14ac:dyDescent="0.25">
      <c r="A160">
        <v>158</v>
      </c>
      <c r="B160" s="8" t="s">
        <v>163</v>
      </c>
      <c r="C160" s="21" t="s">
        <v>1092</v>
      </c>
      <c r="D160" s="22" t="s">
        <v>8</v>
      </c>
      <c r="E160" s="15">
        <v>608</v>
      </c>
      <c r="F160" s="23">
        <v>11</v>
      </c>
      <c r="G160" s="24" t="s">
        <v>6</v>
      </c>
      <c r="H160" s="18">
        <v>15</v>
      </c>
      <c r="I160" s="19">
        <f>VLOOKUP(B160,[1]Лист2!$A:$J,10,0)</f>
        <v>1.97</v>
      </c>
      <c r="J160" s="19">
        <v>450</v>
      </c>
      <c r="K160" s="19">
        <f t="shared" si="2"/>
        <v>-158</v>
      </c>
      <c r="L160" s="18"/>
      <c r="M160" s="18"/>
      <c r="N160" s="18"/>
      <c r="O160" s="26" t="s">
        <v>1036</v>
      </c>
    </row>
    <row r="161" spans="1:15" ht="15" x14ac:dyDescent="0.25">
      <c r="A161">
        <v>159</v>
      </c>
      <c r="B161" s="7" t="s">
        <v>163</v>
      </c>
      <c r="C161" s="13" t="s">
        <v>1092</v>
      </c>
      <c r="D161" s="14" t="s">
        <v>8</v>
      </c>
      <c r="E161" s="15">
        <v>608</v>
      </c>
      <c r="F161" s="16">
        <v>11</v>
      </c>
      <c r="G161" s="17" t="s">
        <v>6</v>
      </c>
      <c r="H161" s="18">
        <v>15</v>
      </c>
      <c r="I161" s="19">
        <f>VLOOKUP(B161,[1]Лист2!$A:$J,10,0)</f>
        <v>1.97</v>
      </c>
      <c r="J161" s="19">
        <v>450</v>
      </c>
      <c r="K161" s="19">
        <f t="shared" si="2"/>
        <v>-158</v>
      </c>
      <c r="L161" s="18"/>
      <c r="M161" s="18"/>
      <c r="N161" s="18"/>
      <c r="O161" s="26" t="s">
        <v>1036</v>
      </c>
    </row>
    <row r="162" spans="1:15" ht="15" x14ac:dyDescent="0.25">
      <c r="A162">
        <v>160</v>
      </c>
      <c r="B162" s="8" t="s">
        <v>163</v>
      </c>
      <c r="C162" s="21" t="s">
        <v>1092</v>
      </c>
      <c r="D162" s="22" t="s">
        <v>8</v>
      </c>
      <c r="E162" s="15">
        <v>608</v>
      </c>
      <c r="F162" s="23">
        <v>11</v>
      </c>
      <c r="G162" s="24" t="s">
        <v>6</v>
      </c>
      <c r="H162" s="18">
        <v>14</v>
      </c>
      <c r="I162" s="19">
        <f>VLOOKUP(B162,[1]Лист2!$A:$J,10,0)</f>
        <v>1.97</v>
      </c>
      <c r="J162" s="19">
        <v>450</v>
      </c>
      <c r="K162" s="19">
        <f t="shared" si="2"/>
        <v>-158</v>
      </c>
      <c r="L162" s="18"/>
      <c r="M162" s="18"/>
      <c r="N162" s="18"/>
      <c r="O162" s="26" t="s">
        <v>1036</v>
      </c>
    </row>
    <row r="163" spans="1:15" ht="15" x14ac:dyDescent="0.25">
      <c r="A163">
        <v>161</v>
      </c>
      <c r="B163" s="7" t="s">
        <v>163</v>
      </c>
      <c r="C163" s="13" t="s">
        <v>1092</v>
      </c>
      <c r="D163" s="14" t="s">
        <v>8</v>
      </c>
      <c r="E163" s="15">
        <v>809</v>
      </c>
      <c r="F163" s="16">
        <v>11</v>
      </c>
      <c r="G163" s="17" t="s">
        <v>6</v>
      </c>
      <c r="H163" s="18">
        <v>5</v>
      </c>
      <c r="I163" s="19">
        <f>VLOOKUP(B163,[1]Лист2!$A:$J,10,0)</f>
        <v>1.97</v>
      </c>
      <c r="J163" s="19">
        <v>150</v>
      </c>
      <c r="K163" s="19">
        <f t="shared" si="2"/>
        <v>-659</v>
      </c>
      <c r="L163" s="18"/>
      <c r="M163" s="18"/>
      <c r="N163" s="18"/>
      <c r="O163" s="26" t="s">
        <v>1036</v>
      </c>
    </row>
    <row r="164" spans="1:15" ht="15" x14ac:dyDescent="0.25">
      <c r="A164">
        <v>162</v>
      </c>
      <c r="B164" s="8" t="s">
        <v>163</v>
      </c>
      <c r="C164" s="21" t="s">
        <v>1092</v>
      </c>
      <c r="D164" s="22" t="s">
        <v>8</v>
      </c>
      <c r="E164" s="15">
        <v>872</v>
      </c>
      <c r="F164" s="23">
        <v>11</v>
      </c>
      <c r="G164" s="24" t="s">
        <v>6</v>
      </c>
      <c r="H164" s="18">
        <v>4</v>
      </c>
      <c r="I164" s="19">
        <f>VLOOKUP(B164,[1]Лист2!$A:$J,10,0)</f>
        <v>1.97</v>
      </c>
      <c r="J164" s="19">
        <v>150</v>
      </c>
      <c r="K164" s="19">
        <f t="shared" si="2"/>
        <v>-722</v>
      </c>
      <c r="L164" s="18"/>
      <c r="M164" s="18"/>
      <c r="N164" s="18"/>
      <c r="O164" s="26" t="s">
        <v>1036</v>
      </c>
    </row>
    <row r="165" spans="1:15" ht="15" x14ac:dyDescent="0.25">
      <c r="A165">
        <v>163</v>
      </c>
      <c r="B165" s="7" t="s">
        <v>163</v>
      </c>
      <c r="C165" s="13" t="s">
        <v>1092</v>
      </c>
      <c r="D165" s="14" t="s">
        <v>8</v>
      </c>
      <c r="E165" s="15">
        <v>883</v>
      </c>
      <c r="F165" s="16">
        <v>11</v>
      </c>
      <c r="G165" s="17" t="s">
        <v>6</v>
      </c>
      <c r="H165" s="18">
        <v>3</v>
      </c>
      <c r="I165" s="19">
        <f>VLOOKUP(B165,[1]Лист2!$A:$J,10,0)</f>
        <v>1.97</v>
      </c>
      <c r="J165" s="19">
        <v>150</v>
      </c>
      <c r="K165" s="19">
        <f t="shared" si="2"/>
        <v>-733</v>
      </c>
      <c r="L165" s="18"/>
      <c r="M165" s="18"/>
      <c r="N165" s="18"/>
      <c r="O165" s="26" t="s">
        <v>1036</v>
      </c>
    </row>
    <row r="166" spans="1:15" ht="15" x14ac:dyDescent="0.25">
      <c r="A166">
        <v>164</v>
      </c>
      <c r="B166" s="8" t="s">
        <v>163</v>
      </c>
      <c r="C166" s="21" t="s">
        <v>1092</v>
      </c>
      <c r="D166" s="22" t="s">
        <v>8</v>
      </c>
      <c r="E166" s="15">
        <v>822</v>
      </c>
      <c r="F166" s="23">
        <v>11</v>
      </c>
      <c r="G166" s="24" t="s">
        <v>6</v>
      </c>
      <c r="H166" s="18">
        <v>1</v>
      </c>
      <c r="I166" s="19">
        <f>VLOOKUP(B166,[1]Лист2!$A:$J,10,0)</f>
        <v>1.97</v>
      </c>
      <c r="J166" s="19">
        <v>150</v>
      </c>
      <c r="K166" s="19">
        <f t="shared" si="2"/>
        <v>-672</v>
      </c>
      <c r="L166" s="18"/>
      <c r="M166" s="18"/>
      <c r="N166" s="18"/>
      <c r="O166" s="26" t="s">
        <v>1036</v>
      </c>
    </row>
    <row r="167" spans="1:15" ht="15" x14ac:dyDescent="0.25">
      <c r="A167">
        <v>165</v>
      </c>
      <c r="B167" s="7" t="s">
        <v>164</v>
      </c>
      <c r="C167" s="13" t="s">
        <v>1155</v>
      </c>
      <c r="D167" s="14" t="s">
        <v>165</v>
      </c>
      <c r="E167" s="16">
        <v>250</v>
      </c>
      <c r="F167" s="15">
        <v>342</v>
      </c>
      <c r="G167" s="17" t="s">
        <v>6</v>
      </c>
      <c r="H167" s="18">
        <v>1</v>
      </c>
      <c r="I167" s="19"/>
      <c r="J167" s="19">
        <v>328.32</v>
      </c>
      <c r="K167" s="19">
        <f t="shared" si="2"/>
        <v>78.319999999999993</v>
      </c>
      <c r="L167" s="18"/>
      <c r="M167" s="18"/>
      <c r="N167" s="18"/>
      <c r="O167" s="26" t="s">
        <v>1036</v>
      </c>
    </row>
    <row r="168" spans="1:15" ht="15" x14ac:dyDescent="0.25">
      <c r="A168">
        <v>166</v>
      </c>
      <c r="B168" s="8" t="s">
        <v>166</v>
      </c>
      <c r="C168" s="21" t="s">
        <v>1156</v>
      </c>
      <c r="D168" s="22" t="s">
        <v>24</v>
      </c>
      <c r="E168" s="15">
        <v>506</v>
      </c>
      <c r="F168" s="23">
        <v>164</v>
      </c>
      <c r="G168" s="24" t="s">
        <v>6</v>
      </c>
      <c r="H168" s="18">
        <v>1</v>
      </c>
      <c r="I168" s="19">
        <f>VLOOKUP(B168,[1]Лист2!$A:$J,10,0)</f>
        <v>159.57</v>
      </c>
      <c r="J168" s="29">
        <v>255</v>
      </c>
      <c r="K168" s="19">
        <f t="shared" si="2"/>
        <v>-251</v>
      </c>
      <c r="L168" s="18"/>
      <c r="M168" s="18"/>
      <c r="N168" s="18"/>
      <c r="O168" s="26" t="s">
        <v>1036</v>
      </c>
    </row>
    <row r="169" spans="1:15" ht="15" x14ac:dyDescent="0.25">
      <c r="A169">
        <v>167</v>
      </c>
      <c r="B169" s="7" t="s">
        <v>167</v>
      </c>
      <c r="C169" s="13" t="s">
        <v>1157</v>
      </c>
      <c r="D169" s="14" t="s">
        <v>24</v>
      </c>
      <c r="E169" s="15">
        <v>327</v>
      </c>
      <c r="F169" s="16">
        <v>162</v>
      </c>
      <c r="G169" s="17" t="s">
        <v>6</v>
      </c>
      <c r="H169" s="18">
        <v>1</v>
      </c>
      <c r="I169" s="19">
        <f>VLOOKUP(B169,[1]Лист2!$A:$J,10,0)</f>
        <v>157.6</v>
      </c>
      <c r="J169" s="29">
        <v>159.17599999999999</v>
      </c>
      <c r="K169" s="19">
        <f t="shared" si="2"/>
        <v>-167.82400000000001</v>
      </c>
      <c r="L169" s="18"/>
      <c r="M169" s="18"/>
      <c r="N169" s="18"/>
      <c r="O169" s="26" t="s">
        <v>1036</v>
      </c>
    </row>
    <row r="170" spans="1:15" ht="15" x14ac:dyDescent="0.25">
      <c r="A170">
        <v>168</v>
      </c>
      <c r="B170" s="8" t="s">
        <v>168</v>
      </c>
      <c r="C170" s="21" t="s">
        <v>1158</v>
      </c>
      <c r="D170" s="22" t="s">
        <v>16</v>
      </c>
      <c r="E170" s="15">
        <v>915</v>
      </c>
      <c r="F170" s="23">
        <v>634</v>
      </c>
      <c r="G170" s="24" t="s">
        <v>6</v>
      </c>
      <c r="H170" s="18">
        <v>1</v>
      </c>
      <c r="I170" s="19"/>
      <c r="J170" s="19">
        <v>924.15</v>
      </c>
      <c r="K170" s="19">
        <f t="shared" si="2"/>
        <v>9.1499999999999773</v>
      </c>
      <c r="L170" s="18"/>
      <c r="M170" s="18"/>
      <c r="N170" s="18"/>
      <c r="O170" s="26" t="s">
        <v>1036</v>
      </c>
    </row>
    <row r="171" spans="1:15" ht="15" x14ac:dyDescent="0.25">
      <c r="A171">
        <v>169</v>
      </c>
      <c r="B171" s="7" t="s">
        <v>169</v>
      </c>
      <c r="C171" s="13" t="s">
        <v>1159</v>
      </c>
      <c r="D171" s="14" t="s">
        <v>16</v>
      </c>
      <c r="E171" s="16">
        <v>167</v>
      </c>
      <c r="F171" s="15">
        <v>213</v>
      </c>
      <c r="G171" s="17" t="s">
        <v>6</v>
      </c>
      <c r="H171" s="18">
        <v>2</v>
      </c>
      <c r="I171" s="19"/>
      <c r="J171" s="19">
        <v>204.48</v>
      </c>
      <c r="K171" s="19">
        <f t="shared" si="2"/>
        <v>37.47999999999999</v>
      </c>
      <c r="L171" s="18"/>
      <c r="M171" s="18"/>
      <c r="N171" s="18"/>
      <c r="O171" s="26" t="s">
        <v>1036</v>
      </c>
    </row>
    <row r="172" spans="1:15" ht="15" x14ac:dyDescent="0.25">
      <c r="A172">
        <v>170</v>
      </c>
      <c r="B172" s="8" t="s">
        <v>170</v>
      </c>
      <c r="C172" s="21" t="s">
        <v>1160</v>
      </c>
      <c r="D172" s="22" t="s">
        <v>16</v>
      </c>
      <c r="E172" s="23">
        <v>167</v>
      </c>
      <c r="F172" s="15">
        <v>213</v>
      </c>
      <c r="G172" s="24" t="s">
        <v>6</v>
      </c>
      <c r="H172" s="18">
        <v>2</v>
      </c>
      <c r="I172" s="19"/>
      <c r="J172" s="19">
        <v>204.48</v>
      </c>
      <c r="K172" s="19">
        <f t="shared" si="2"/>
        <v>37.47999999999999</v>
      </c>
      <c r="L172" s="18"/>
      <c r="M172" s="18"/>
      <c r="N172" s="18"/>
      <c r="O172" s="26" t="s">
        <v>1036</v>
      </c>
    </row>
    <row r="173" spans="1:15" ht="15" x14ac:dyDescent="0.25">
      <c r="A173">
        <v>171</v>
      </c>
      <c r="B173" s="7" t="s">
        <v>171</v>
      </c>
      <c r="C173" s="13" t="s">
        <v>1161</v>
      </c>
      <c r="D173" s="14" t="s">
        <v>119</v>
      </c>
      <c r="E173" s="16">
        <v>664</v>
      </c>
      <c r="F173" s="15">
        <v>789</v>
      </c>
      <c r="G173" s="17" t="s">
        <v>6</v>
      </c>
      <c r="H173" s="18">
        <v>1</v>
      </c>
      <c r="I173" s="19"/>
      <c r="J173" s="19">
        <v>757.43999999999994</v>
      </c>
      <c r="K173" s="19">
        <f t="shared" si="2"/>
        <v>93.439999999999941</v>
      </c>
      <c r="L173" s="18"/>
      <c r="M173" s="18"/>
      <c r="N173" s="18"/>
      <c r="O173" s="26" t="s">
        <v>1036</v>
      </c>
    </row>
    <row r="174" spans="1:15" ht="15" x14ac:dyDescent="0.25">
      <c r="A174">
        <v>172</v>
      </c>
      <c r="B174" s="8" t="s">
        <v>172</v>
      </c>
      <c r="C174" s="21" t="s">
        <v>1162</v>
      </c>
      <c r="D174" s="22" t="s">
        <v>50</v>
      </c>
      <c r="E174" s="23">
        <v>12</v>
      </c>
      <c r="F174" s="15">
        <v>25</v>
      </c>
      <c r="G174" s="24" t="s">
        <v>6</v>
      </c>
      <c r="H174" s="18">
        <v>1</v>
      </c>
      <c r="I174" s="19"/>
      <c r="J174" s="19">
        <v>24</v>
      </c>
      <c r="K174" s="19">
        <f t="shared" si="2"/>
        <v>12</v>
      </c>
      <c r="L174" s="18"/>
      <c r="M174" s="18"/>
      <c r="N174" s="18"/>
      <c r="O174" s="26" t="s">
        <v>1036</v>
      </c>
    </row>
    <row r="175" spans="1:15" ht="15" x14ac:dyDescent="0.25">
      <c r="A175">
        <v>173</v>
      </c>
      <c r="B175" s="7" t="s">
        <v>173</v>
      </c>
      <c r="C175" s="13" t="s">
        <v>1163</v>
      </c>
      <c r="D175" s="14" t="s">
        <v>16</v>
      </c>
      <c r="E175" s="16">
        <v>884</v>
      </c>
      <c r="F175" s="15">
        <v>1093</v>
      </c>
      <c r="G175" s="17" t="s">
        <v>6</v>
      </c>
      <c r="H175" s="18">
        <v>1</v>
      </c>
      <c r="I175" s="19"/>
      <c r="J175" s="19">
        <v>1049.28</v>
      </c>
      <c r="K175" s="19">
        <f t="shared" si="2"/>
        <v>165.27999999999997</v>
      </c>
      <c r="L175" s="18"/>
      <c r="M175" s="18"/>
      <c r="N175" s="18"/>
      <c r="O175" s="26" t="s">
        <v>1036</v>
      </c>
    </row>
    <row r="176" spans="1:15" ht="15" x14ac:dyDescent="0.25">
      <c r="A176">
        <v>174</v>
      </c>
      <c r="B176" s="8" t="s">
        <v>174</v>
      </c>
      <c r="C176" s="21" t="s">
        <v>1164</v>
      </c>
      <c r="D176" s="22" t="s">
        <v>50</v>
      </c>
      <c r="E176" s="23">
        <v>71</v>
      </c>
      <c r="F176" s="15">
        <v>103</v>
      </c>
      <c r="G176" s="24" t="s">
        <v>6</v>
      </c>
      <c r="H176" s="18">
        <v>1</v>
      </c>
      <c r="I176" s="19"/>
      <c r="J176" s="19">
        <v>98.88</v>
      </c>
      <c r="K176" s="19">
        <f t="shared" si="2"/>
        <v>27.879999999999995</v>
      </c>
      <c r="L176" s="18"/>
      <c r="M176" s="18"/>
      <c r="N176" s="18"/>
      <c r="O176" s="26" t="s">
        <v>1036</v>
      </c>
    </row>
    <row r="177" spans="1:15" ht="15" x14ac:dyDescent="0.25">
      <c r="A177">
        <v>175</v>
      </c>
      <c r="B177" s="7" t="s">
        <v>175</v>
      </c>
      <c r="C177" s="13" t="s">
        <v>1165</v>
      </c>
      <c r="D177" s="14" t="s">
        <v>50</v>
      </c>
      <c r="E177" s="16">
        <v>70</v>
      </c>
      <c r="F177" s="15">
        <v>103</v>
      </c>
      <c r="G177" s="17" t="s">
        <v>6</v>
      </c>
      <c r="H177" s="18">
        <v>1</v>
      </c>
      <c r="I177" s="19"/>
      <c r="J177" s="19">
        <v>98.88</v>
      </c>
      <c r="K177" s="19">
        <f t="shared" si="2"/>
        <v>28.879999999999995</v>
      </c>
      <c r="L177" s="18"/>
      <c r="M177" s="18"/>
      <c r="N177" s="18"/>
      <c r="O177" s="26" t="s">
        <v>1036</v>
      </c>
    </row>
    <row r="178" spans="1:15" ht="15" x14ac:dyDescent="0.25">
      <c r="A178">
        <v>176</v>
      </c>
      <c r="B178" s="8" t="s">
        <v>175</v>
      </c>
      <c r="C178" s="21" t="s">
        <v>1165</v>
      </c>
      <c r="D178" s="22" t="s">
        <v>50</v>
      </c>
      <c r="E178" s="23">
        <v>71</v>
      </c>
      <c r="F178" s="15">
        <v>103</v>
      </c>
      <c r="G178" s="24" t="s">
        <v>6</v>
      </c>
      <c r="H178" s="18">
        <v>1</v>
      </c>
      <c r="I178" s="19"/>
      <c r="J178" s="19">
        <v>98.88</v>
      </c>
      <c r="K178" s="19">
        <f t="shared" si="2"/>
        <v>27.879999999999995</v>
      </c>
      <c r="L178" s="18"/>
      <c r="M178" s="18"/>
      <c r="N178" s="18"/>
      <c r="O178" s="26" t="s">
        <v>1036</v>
      </c>
    </row>
    <row r="179" spans="1:15" ht="15" x14ac:dyDescent="0.25">
      <c r="A179">
        <v>177</v>
      </c>
      <c r="B179" s="7" t="s">
        <v>176</v>
      </c>
      <c r="C179" s="13" t="s">
        <v>1166</v>
      </c>
      <c r="D179" s="14" t="s">
        <v>50</v>
      </c>
      <c r="E179" s="15">
        <v>330</v>
      </c>
      <c r="F179" s="16">
        <v>21</v>
      </c>
      <c r="G179" s="17" t="s">
        <v>6</v>
      </c>
      <c r="H179" s="18">
        <v>1</v>
      </c>
      <c r="I179" s="19">
        <f>VLOOKUP(B179,[1]Лист2!$A:$J,10,0)</f>
        <v>93.575000000000003</v>
      </c>
      <c r="J179" s="29">
        <v>94.510750000000002</v>
      </c>
      <c r="K179" s="19">
        <f t="shared" si="2"/>
        <v>-235.48925</v>
      </c>
      <c r="L179" s="18"/>
      <c r="M179" s="18"/>
      <c r="N179" s="18"/>
      <c r="O179" s="26" t="s">
        <v>1036</v>
      </c>
    </row>
    <row r="180" spans="1:15" ht="15" x14ac:dyDescent="0.25">
      <c r="A180">
        <v>178</v>
      </c>
      <c r="B180" s="8" t="s">
        <v>177</v>
      </c>
      <c r="C180" s="21" t="s">
        <v>1167</v>
      </c>
      <c r="D180" s="22" t="s">
        <v>50</v>
      </c>
      <c r="E180" s="15">
        <v>450</v>
      </c>
      <c r="F180" s="23">
        <v>21</v>
      </c>
      <c r="G180" s="24" t="s">
        <v>6</v>
      </c>
      <c r="H180" s="18">
        <v>1</v>
      </c>
      <c r="I180" s="19">
        <f>VLOOKUP(B180,[1]Лист2!$A:$J,10,0)</f>
        <v>118.2</v>
      </c>
      <c r="J180" s="29">
        <v>119.38200000000001</v>
      </c>
      <c r="K180" s="19">
        <f t="shared" si="2"/>
        <v>-330.61799999999999</v>
      </c>
      <c r="L180" s="18"/>
      <c r="M180" s="18"/>
      <c r="N180" s="18"/>
      <c r="O180" s="26" t="s">
        <v>1036</v>
      </c>
    </row>
    <row r="181" spans="1:15" ht="15" x14ac:dyDescent="0.25">
      <c r="A181">
        <v>179</v>
      </c>
      <c r="B181" s="7" t="s">
        <v>178</v>
      </c>
      <c r="C181" s="13" t="s">
        <v>1168</v>
      </c>
      <c r="D181" s="14" t="s">
        <v>50</v>
      </c>
      <c r="E181" s="15">
        <v>450</v>
      </c>
      <c r="F181" s="16">
        <v>23</v>
      </c>
      <c r="G181" s="17" t="s">
        <v>6</v>
      </c>
      <c r="H181" s="18">
        <v>1</v>
      </c>
      <c r="I181" s="19">
        <f>VLOOKUP(B181,[1]Лист2!$A:$J,10,0)</f>
        <v>118.2</v>
      </c>
      <c r="J181" s="29">
        <v>119.38200000000001</v>
      </c>
      <c r="K181" s="19">
        <f t="shared" si="2"/>
        <v>-330.61799999999999</v>
      </c>
      <c r="L181" s="18"/>
      <c r="M181" s="18"/>
      <c r="N181" s="18"/>
      <c r="O181" s="26" t="s">
        <v>1036</v>
      </c>
    </row>
    <row r="182" spans="1:15" ht="15" x14ac:dyDescent="0.25">
      <c r="A182">
        <v>180</v>
      </c>
      <c r="B182" s="8" t="s">
        <v>179</v>
      </c>
      <c r="C182" s="21" t="s">
        <v>1169</v>
      </c>
      <c r="D182" s="22" t="s">
        <v>50</v>
      </c>
      <c r="E182" s="23">
        <v>23</v>
      </c>
      <c r="F182" s="15">
        <v>39</v>
      </c>
      <c r="G182" s="24" t="s">
        <v>6</v>
      </c>
      <c r="H182" s="18">
        <v>1</v>
      </c>
      <c r="I182" s="19"/>
      <c r="J182" s="19">
        <v>37.44</v>
      </c>
      <c r="K182" s="19">
        <f t="shared" si="2"/>
        <v>14.439999999999998</v>
      </c>
      <c r="L182" s="18"/>
      <c r="M182" s="18"/>
      <c r="N182" s="18"/>
      <c r="O182" s="26" t="s">
        <v>1036</v>
      </c>
    </row>
    <row r="183" spans="1:15" ht="15" x14ac:dyDescent="0.25">
      <c r="A183">
        <v>181</v>
      </c>
      <c r="B183" s="7" t="s">
        <v>180</v>
      </c>
      <c r="C183" s="13" t="s">
        <v>1170</v>
      </c>
      <c r="D183" s="14" t="s">
        <v>50</v>
      </c>
      <c r="E183" s="15">
        <v>229</v>
      </c>
      <c r="F183" s="16">
        <v>25</v>
      </c>
      <c r="G183" s="17" t="s">
        <v>6</v>
      </c>
      <c r="H183" s="18">
        <v>2</v>
      </c>
      <c r="I183" s="19">
        <f>VLOOKUP(B183,[1]Лист2!$A:$J,10,0)</f>
        <v>20.684999999999999</v>
      </c>
      <c r="J183" s="19">
        <v>30</v>
      </c>
      <c r="K183" s="19">
        <f t="shared" si="2"/>
        <v>-199</v>
      </c>
      <c r="L183" s="18"/>
      <c r="M183" s="18"/>
      <c r="N183" s="18"/>
      <c r="O183" s="26" t="s">
        <v>1036</v>
      </c>
    </row>
    <row r="184" spans="1:15" ht="15" x14ac:dyDescent="0.25">
      <c r="A184">
        <v>182</v>
      </c>
      <c r="B184" s="8" t="s">
        <v>181</v>
      </c>
      <c r="C184" s="21" t="s">
        <v>1171</v>
      </c>
      <c r="D184" s="22" t="s">
        <v>50</v>
      </c>
      <c r="E184" s="15">
        <v>229</v>
      </c>
      <c r="F184" s="23">
        <v>25</v>
      </c>
      <c r="G184" s="24" t="s">
        <v>6</v>
      </c>
      <c r="H184" s="18">
        <v>1</v>
      </c>
      <c r="I184" s="19">
        <f>VLOOKUP(B184,[1]Лист2!$A:$J,10,0)</f>
        <v>20.684999999999999</v>
      </c>
      <c r="J184" s="19">
        <v>30</v>
      </c>
      <c r="K184" s="19">
        <f t="shared" si="2"/>
        <v>-199</v>
      </c>
      <c r="L184" s="18"/>
      <c r="M184" s="18"/>
      <c r="N184" s="18"/>
      <c r="O184" s="26" t="s">
        <v>1036</v>
      </c>
    </row>
    <row r="185" spans="1:15" ht="15" x14ac:dyDescent="0.25">
      <c r="A185">
        <v>183</v>
      </c>
      <c r="B185" s="7" t="s">
        <v>182</v>
      </c>
      <c r="C185" s="13" t="s">
        <v>1172</v>
      </c>
      <c r="D185" s="14" t="s">
        <v>50</v>
      </c>
      <c r="E185" s="15">
        <v>221</v>
      </c>
      <c r="F185" s="16">
        <v>24</v>
      </c>
      <c r="G185" s="17" t="s">
        <v>6</v>
      </c>
      <c r="H185" s="18">
        <v>1</v>
      </c>
      <c r="I185" s="19">
        <f>VLOOKUP(B185,[1]Лист2!$A:$J,10,0)</f>
        <v>20.684999999999999</v>
      </c>
      <c r="J185" s="19">
        <v>30</v>
      </c>
      <c r="K185" s="19">
        <f t="shared" si="2"/>
        <v>-191</v>
      </c>
      <c r="L185" s="18"/>
      <c r="M185" s="18"/>
      <c r="N185" s="18"/>
      <c r="O185" s="26" t="s">
        <v>1036</v>
      </c>
    </row>
    <row r="186" spans="1:15" ht="15" x14ac:dyDescent="0.25">
      <c r="A186">
        <v>184</v>
      </c>
      <c r="B186" s="8" t="s">
        <v>183</v>
      </c>
      <c r="C186" s="21" t="s">
        <v>1173</v>
      </c>
      <c r="D186" s="22" t="s">
        <v>5</v>
      </c>
      <c r="E186" s="15">
        <v>599</v>
      </c>
      <c r="F186" s="23">
        <v>397</v>
      </c>
      <c r="G186" s="24" t="s">
        <v>6</v>
      </c>
      <c r="H186" s="18">
        <v>1</v>
      </c>
      <c r="I186" s="19">
        <f>VLOOKUP(B186,[1]Лист2!$A:$J,10,0)</f>
        <v>380.21</v>
      </c>
      <c r="J186" s="19">
        <v>381.12</v>
      </c>
      <c r="K186" s="19">
        <f t="shared" si="2"/>
        <v>-217.88</v>
      </c>
      <c r="L186" s="18"/>
      <c r="M186" s="18"/>
      <c r="N186" s="18"/>
      <c r="O186" s="26" t="s">
        <v>1036</v>
      </c>
    </row>
    <row r="187" spans="1:15" ht="15" x14ac:dyDescent="0.25">
      <c r="A187">
        <v>185</v>
      </c>
      <c r="B187" s="7" t="s">
        <v>184</v>
      </c>
      <c r="C187" s="13" t="s">
        <v>1174</v>
      </c>
      <c r="D187" s="14" t="s">
        <v>16</v>
      </c>
      <c r="E187" s="15">
        <v>251</v>
      </c>
      <c r="F187" s="16">
        <v>230</v>
      </c>
      <c r="G187" s="17" t="s">
        <v>6</v>
      </c>
      <c r="H187" s="18">
        <v>11</v>
      </c>
      <c r="I187" s="19">
        <f>VLOOKUP(B187,[1]Лист2!$A:$J,10,0)</f>
        <v>218.67</v>
      </c>
      <c r="J187" s="19">
        <v>220.79999999999998</v>
      </c>
      <c r="K187" s="19">
        <f t="shared" si="2"/>
        <v>-30.200000000000017</v>
      </c>
      <c r="L187" s="18"/>
      <c r="M187" s="18"/>
      <c r="N187" s="18"/>
      <c r="O187" s="26" t="s">
        <v>1036</v>
      </c>
    </row>
    <row r="188" spans="1:15" ht="15" x14ac:dyDescent="0.25">
      <c r="A188">
        <v>186</v>
      </c>
      <c r="B188" s="8" t="s">
        <v>185</v>
      </c>
      <c r="C188" s="21" t="s">
        <v>1175</v>
      </c>
      <c r="D188" s="22" t="s">
        <v>16</v>
      </c>
      <c r="E188" s="15">
        <v>81</v>
      </c>
      <c r="F188" s="23">
        <v>63</v>
      </c>
      <c r="G188" s="24" t="s">
        <v>6</v>
      </c>
      <c r="H188" s="18">
        <v>1</v>
      </c>
      <c r="I188" s="19"/>
      <c r="J188" s="19">
        <v>81.81</v>
      </c>
      <c r="K188" s="19">
        <f t="shared" si="2"/>
        <v>0.81000000000000227</v>
      </c>
      <c r="L188" s="18"/>
      <c r="M188" s="18"/>
      <c r="N188" s="18"/>
      <c r="O188" s="26" t="s">
        <v>1036</v>
      </c>
    </row>
    <row r="189" spans="1:15" ht="15" x14ac:dyDescent="0.25">
      <c r="A189">
        <v>187</v>
      </c>
      <c r="B189" s="7" t="s">
        <v>186</v>
      </c>
      <c r="C189" s="13" t="s">
        <v>1144</v>
      </c>
      <c r="D189" s="14" t="s">
        <v>16</v>
      </c>
      <c r="E189" s="15">
        <v>697</v>
      </c>
      <c r="F189" s="16">
        <v>439</v>
      </c>
      <c r="G189" s="17" t="s">
        <v>6</v>
      </c>
      <c r="H189" s="18">
        <v>1</v>
      </c>
      <c r="I189" s="19">
        <f>VLOOKUP(B189,[1]Лист2!$A:$J,10,0)</f>
        <v>455.07</v>
      </c>
      <c r="J189" s="29">
        <v>459.6207</v>
      </c>
      <c r="K189" s="19">
        <f t="shared" si="2"/>
        <v>-237.3793</v>
      </c>
      <c r="L189" s="18"/>
      <c r="M189" s="18"/>
      <c r="N189" s="18"/>
      <c r="O189" s="26" t="s">
        <v>1036</v>
      </c>
    </row>
    <row r="190" spans="1:15" ht="15" x14ac:dyDescent="0.25">
      <c r="A190">
        <v>188</v>
      </c>
      <c r="B190" s="8" t="s">
        <v>187</v>
      </c>
      <c r="C190" s="21" t="s">
        <v>1176</v>
      </c>
      <c r="D190" s="22" t="s">
        <v>16</v>
      </c>
      <c r="E190" s="15">
        <v>247</v>
      </c>
      <c r="F190" s="23">
        <v>61</v>
      </c>
      <c r="G190" s="24" t="s">
        <v>6</v>
      </c>
      <c r="H190" s="18">
        <v>1</v>
      </c>
      <c r="I190" s="19">
        <f>VLOOKUP(B190,[1]Лист2!$A:$J,10,0)</f>
        <v>64.025000000000006</v>
      </c>
      <c r="J190" s="29">
        <v>64.66525</v>
      </c>
      <c r="K190" s="19">
        <f t="shared" si="2"/>
        <v>-182.33474999999999</v>
      </c>
      <c r="L190" s="18"/>
      <c r="M190" s="18"/>
      <c r="N190" s="18"/>
      <c r="O190" s="26" t="s">
        <v>1036</v>
      </c>
    </row>
    <row r="191" spans="1:15" ht="15" x14ac:dyDescent="0.25">
      <c r="A191">
        <v>189</v>
      </c>
      <c r="B191" s="7" t="s">
        <v>188</v>
      </c>
      <c r="C191" s="13" t="s">
        <v>1177</v>
      </c>
      <c r="D191" s="14" t="s">
        <v>8</v>
      </c>
      <c r="E191" s="15">
        <v>24</v>
      </c>
      <c r="F191" s="16">
        <v>19.47</v>
      </c>
      <c r="G191" s="17" t="s">
        <v>71</v>
      </c>
      <c r="H191" s="18">
        <v>21</v>
      </c>
      <c r="I191" s="19">
        <f>VLOOKUP(B191,[1]Лист2!$A:$J,10,0)</f>
        <v>11.82</v>
      </c>
      <c r="J191" s="19">
        <v>18.691199999999998</v>
      </c>
      <c r="K191" s="19">
        <f t="shared" si="2"/>
        <v>-5.3088000000000015</v>
      </c>
      <c r="L191" s="18"/>
      <c r="M191" s="18"/>
      <c r="N191" s="18"/>
      <c r="O191" s="26" t="s">
        <v>1036</v>
      </c>
    </row>
    <row r="192" spans="1:15" ht="15" x14ac:dyDescent="0.25">
      <c r="A192">
        <v>190</v>
      </c>
      <c r="B192" s="8" t="s">
        <v>189</v>
      </c>
      <c r="C192" s="21" t="s">
        <v>1178</v>
      </c>
      <c r="D192" s="22" t="s">
        <v>16</v>
      </c>
      <c r="E192" s="23">
        <v>742</v>
      </c>
      <c r="F192" s="15">
        <v>918</v>
      </c>
      <c r="G192" s="24" t="s">
        <v>6</v>
      </c>
      <c r="H192" s="18">
        <v>1</v>
      </c>
      <c r="I192" s="19">
        <f>VLOOKUP(B192,[1]Лист2!$A:$J,10,0)</f>
        <v>352.63</v>
      </c>
      <c r="J192" s="19">
        <v>881.28</v>
      </c>
      <c r="K192" s="19">
        <f t="shared" si="2"/>
        <v>139.27999999999997</v>
      </c>
      <c r="L192" s="18"/>
      <c r="M192" s="18"/>
      <c r="N192" s="18"/>
      <c r="O192" s="26" t="s">
        <v>1036</v>
      </c>
    </row>
    <row r="193" spans="1:15" ht="15" x14ac:dyDescent="0.25">
      <c r="A193">
        <v>191</v>
      </c>
      <c r="B193" s="7" t="s">
        <v>190</v>
      </c>
      <c r="C193" s="13" t="s">
        <v>1179</v>
      </c>
      <c r="D193" s="14" t="s">
        <v>16</v>
      </c>
      <c r="E193" s="15">
        <v>732</v>
      </c>
      <c r="F193" s="16">
        <v>539</v>
      </c>
      <c r="G193" s="17" t="s">
        <v>6</v>
      </c>
      <c r="H193" s="18">
        <v>2</v>
      </c>
      <c r="I193" s="19">
        <f>VLOOKUP(B193,[1]Лист2!$A:$J,10,0)</f>
        <v>307.32</v>
      </c>
      <c r="J193" s="19">
        <v>517.43999999999994</v>
      </c>
      <c r="K193" s="19">
        <f t="shared" si="2"/>
        <v>-214.56000000000006</v>
      </c>
      <c r="L193" s="18"/>
      <c r="M193" s="18"/>
      <c r="N193" s="18"/>
      <c r="O193" s="26" t="s">
        <v>1036</v>
      </c>
    </row>
    <row r="194" spans="1:15" ht="15" x14ac:dyDescent="0.25">
      <c r="A194">
        <v>192</v>
      </c>
      <c r="B194" s="8" t="s">
        <v>190</v>
      </c>
      <c r="C194" s="21" t="s">
        <v>1179</v>
      </c>
      <c r="D194" s="22" t="s">
        <v>16</v>
      </c>
      <c r="E194" s="15">
        <v>732</v>
      </c>
      <c r="F194" s="23">
        <v>539</v>
      </c>
      <c r="G194" s="24" t="s">
        <v>6</v>
      </c>
      <c r="H194" s="18">
        <v>1</v>
      </c>
      <c r="I194" s="19">
        <f>VLOOKUP(B194,[1]Лист2!$A:$J,10,0)</f>
        <v>307.32</v>
      </c>
      <c r="J194" s="19">
        <v>517.43999999999994</v>
      </c>
      <c r="K194" s="19">
        <f t="shared" si="2"/>
        <v>-214.56000000000006</v>
      </c>
      <c r="L194" s="18"/>
      <c r="M194" s="18"/>
      <c r="N194" s="18"/>
      <c r="O194" s="26" t="s">
        <v>1036</v>
      </c>
    </row>
    <row r="195" spans="1:15" ht="15" x14ac:dyDescent="0.25">
      <c r="A195">
        <v>193</v>
      </c>
      <c r="B195" s="7" t="s">
        <v>191</v>
      </c>
      <c r="C195" s="13" t="s">
        <v>1180</v>
      </c>
      <c r="D195" s="14" t="s">
        <v>16</v>
      </c>
      <c r="E195" s="15">
        <v>630</v>
      </c>
      <c r="F195" s="16">
        <v>344</v>
      </c>
      <c r="G195" s="17" t="s">
        <v>6</v>
      </c>
      <c r="H195" s="18">
        <v>9</v>
      </c>
      <c r="I195" s="19">
        <f>VLOOKUP(B195,[1]Лист2!$A:$J,10,0)</f>
        <v>578.19499999999994</v>
      </c>
      <c r="J195" s="29">
        <v>583.97694999999999</v>
      </c>
      <c r="K195" s="19">
        <f t="shared" ref="K195:K258" si="3">J195-E195</f>
        <v>-46.023050000000012</v>
      </c>
      <c r="L195" s="18"/>
      <c r="M195" s="18"/>
      <c r="N195" s="18"/>
      <c r="O195" s="26" t="s">
        <v>1036</v>
      </c>
    </row>
    <row r="196" spans="1:15" ht="15" x14ac:dyDescent="0.25">
      <c r="A196">
        <v>194</v>
      </c>
      <c r="B196" s="8" t="s">
        <v>192</v>
      </c>
      <c r="C196" s="21" t="s">
        <v>1181</v>
      </c>
      <c r="D196" s="22" t="s">
        <v>16</v>
      </c>
      <c r="E196" s="15">
        <v>457</v>
      </c>
      <c r="F196" s="23">
        <v>392</v>
      </c>
      <c r="G196" s="24" t="s">
        <v>6</v>
      </c>
      <c r="H196" s="18">
        <v>3</v>
      </c>
      <c r="I196" s="19">
        <f>VLOOKUP(B196,[1]Лист2!$A:$J,10,0)</f>
        <v>262.01</v>
      </c>
      <c r="J196" s="19">
        <v>376.32</v>
      </c>
      <c r="K196" s="19">
        <f t="shared" si="3"/>
        <v>-80.680000000000007</v>
      </c>
      <c r="L196" s="18"/>
      <c r="M196" s="18"/>
      <c r="N196" s="18"/>
      <c r="O196" s="26" t="s">
        <v>1036</v>
      </c>
    </row>
    <row r="197" spans="1:15" ht="15" x14ac:dyDescent="0.25">
      <c r="A197">
        <v>195</v>
      </c>
      <c r="B197" s="7" t="s">
        <v>192</v>
      </c>
      <c r="C197" s="13" t="s">
        <v>1181</v>
      </c>
      <c r="D197" s="14" t="s">
        <v>16</v>
      </c>
      <c r="E197" s="15">
        <v>457</v>
      </c>
      <c r="F197" s="16">
        <v>392</v>
      </c>
      <c r="G197" s="17" t="s">
        <v>6</v>
      </c>
      <c r="H197" s="18">
        <v>3</v>
      </c>
      <c r="I197" s="19">
        <f>VLOOKUP(B197,[1]Лист2!$A:$J,10,0)</f>
        <v>262.01</v>
      </c>
      <c r="J197" s="19">
        <v>376.32</v>
      </c>
      <c r="K197" s="19">
        <f t="shared" si="3"/>
        <v>-80.680000000000007</v>
      </c>
      <c r="L197" s="18"/>
      <c r="M197" s="18"/>
      <c r="N197" s="18"/>
      <c r="O197" s="26" t="s">
        <v>1036</v>
      </c>
    </row>
    <row r="198" spans="1:15" ht="15" x14ac:dyDescent="0.25">
      <c r="A198">
        <v>196</v>
      </c>
      <c r="B198" s="8" t="s">
        <v>192</v>
      </c>
      <c r="C198" s="21" t="s">
        <v>1181</v>
      </c>
      <c r="D198" s="22" t="s">
        <v>16</v>
      </c>
      <c r="E198" s="15">
        <v>457</v>
      </c>
      <c r="F198" s="23">
        <v>392</v>
      </c>
      <c r="G198" s="24" t="s">
        <v>6</v>
      </c>
      <c r="H198" s="18">
        <v>2</v>
      </c>
      <c r="I198" s="19">
        <f>VLOOKUP(B198,[1]Лист2!$A:$J,10,0)</f>
        <v>262.01</v>
      </c>
      <c r="J198" s="19">
        <v>376.32</v>
      </c>
      <c r="K198" s="19">
        <f t="shared" si="3"/>
        <v>-80.680000000000007</v>
      </c>
      <c r="L198" s="18"/>
      <c r="M198" s="18"/>
      <c r="N198" s="18"/>
      <c r="O198" s="26" t="s">
        <v>1036</v>
      </c>
    </row>
    <row r="199" spans="1:15" ht="15" x14ac:dyDescent="0.25">
      <c r="A199">
        <v>197</v>
      </c>
      <c r="B199" s="7" t="s">
        <v>193</v>
      </c>
      <c r="C199" s="13" t="s">
        <v>1182</v>
      </c>
      <c r="D199" s="14" t="s">
        <v>16</v>
      </c>
      <c r="E199" s="15">
        <v>381</v>
      </c>
      <c r="F199" s="16">
        <v>135</v>
      </c>
      <c r="G199" s="17" t="s">
        <v>6</v>
      </c>
      <c r="H199" s="18">
        <v>1</v>
      </c>
      <c r="I199" s="19">
        <f>VLOOKUP(B199,[1]Лист2!$A:$J,10,0)</f>
        <v>154.64500000000001</v>
      </c>
      <c r="J199" s="29">
        <v>156.19145</v>
      </c>
      <c r="K199" s="19">
        <f t="shared" si="3"/>
        <v>-224.80855</v>
      </c>
      <c r="L199" s="18"/>
      <c r="M199" s="18"/>
      <c r="N199" s="18"/>
      <c r="O199" s="26" t="s">
        <v>1036</v>
      </c>
    </row>
    <row r="200" spans="1:15" ht="15" x14ac:dyDescent="0.25">
      <c r="A200">
        <v>198</v>
      </c>
      <c r="B200" s="8" t="s">
        <v>194</v>
      </c>
      <c r="C200" s="21" t="s">
        <v>1183</v>
      </c>
      <c r="D200" s="22" t="s">
        <v>16</v>
      </c>
      <c r="E200" s="15">
        <v>708</v>
      </c>
      <c r="F200" s="23">
        <v>687</v>
      </c>
      <c r="G200" s="24" t="s">
        <v>6</v>
      </c>
      <c r="H200" s="18">
        <v>1</v>
      </c>
      <c r="I200" s="19">
        <f>VLOOKUP(B200,[1]Лист2!$A:$J,10,0)</f>
        <v>631.38499999999999</v>
      </c>
      <c r="J200" s="19">
        <v>659.52</v>
      </c>
      <c r="K200" s="19">
        <f t="shared" si="3"/>
        <v>-48.480000000000018</v>
      </c>
      <c r="L200" s="18"/>
      <c r="M200" s="18"/>
      <c r="N200" s="18"/>
      <c r="O200" s="26" t="s">
        <v>1036</v>
      </c>
    </row>
    <row r="201" spans="1:15" ht="15" x14ac:dyDescent="0.25">
      <c r="A201">
        <v>199</v>
      </c>
      <c r="B201" s="7" t="s">
        <v>194</v>
      </c>
      <c r="C201" s="13" t="s">
        <v>1183</v>
      </c>
      <c r="D201" s="14" t="s">
        <v>16</v>
      </c>
      <c r="E201" s="15">
        <v>708</v>
      </c>
      <c r="F201" s="16">
        <v>687</v>
      </c>
      <c r="G201" s="17" t="s">
        <v>6</v>
      </c>
      <c r="H201" s="18">
        <v>1</v>
      </c>
      <c r="I201" s="19">
        <f>VLOOKUP(B201,[1]Лист2!$A:$J,10,0)</f>
        <v>631.38499999999999</v>
      </c>
      <c r="J201" s="19">
        <v>659.52</v>
      </c>
      <c r="K201" s="19">
        <f t="shared" si="3"/>
        <v>-48.480000000000018</v>
      </c>
      <c r="L201" s="18"/>
      <c r="M201" s="18"/>
      <c r="N201" s="18"/>
      <c r="O201" s="26" t="s">
        <v>1036</v>
      </c>
    </row>
    <row r="202" spans="1:15" ht="15" x14ac:dyDescent="0.25">
      <c r="A202">
        <v>200</v>
      </c>
      <c r="B202" s="8" t="s">
        <v>194</v>
      </c>
      <c r="C202" s="21" t="s">
        <v>1183</v>
      </c>
      <c r="D202" s="22" t="s">
        <v>16</v>
      </c>
      <c r="E202" s="15">
        <v>708</v>
      </c>
      <c r="F202" s="23">
        <v>687</v>
      </c>
      <c r="G202" s="24" t="s">
        <v>6</v>
      </c>
      <c r="H202" s="18">
        <v>1</v>
      </c>
      <c r="I202" s="19">
        <f>VLOOKUP(B202,[1]Лист2!$A:$J,10,0)</f>
        <v>631.38499999999999</v>
      </c>
      <c r="J202" s="19">
        <v>659.52</v>
      </c>
      <c r="K202" s="19">
        <f t="shared" si="3"/>
        <v>-48.480000000000018</v>
      </c>
      <c r="L202" s="18"/>
      <c r="M202" s="18"/>
      <c r="N202" s="18"/>
      <c r="O202" s="26" t="s">
        <v>1036</v>
      </c>
    </row>
    <row r="203" spans="1:15" ht="15" x14ac:dyDescent="0.25">
      <c r="A203">
        <v>201</v>
      </c>
      <c r="B203" s="7" t="s">
        <v>195</v>
      </c>
      <c r="C203" s="13" t="s">
        <v>1184</v>
      </c>
      <c r="D203" s="14" t="s">
        <v>16</v>
      </c>
      <c r="E203" s="15">
        <v>959</v>
      </c>
      <c r="F203" s="16">
        <v>478</v>
      </c>
      <c r="G203" s="17" t="s">
        <v>6</v>
      </c>
      <c r="H203" s="18">
        <v>1</v>
      </c>
      <c r="I203" s="19">
        <f>VLOOKUP(B203,[1]Лист2!$A:$J,10,0)</f>
        <v>666.84500000000003</v>
      </c>
      <c r="J203" s="29">
        <v>673.51345000000003</v>
      </c>
      <c r="K203" s="19">
        <f t="shared" si="3"/>
        <v>-285.48654999999997</v>
      </c>
      <c r="L203" s="18"/>
      <c r="M203" s="18"/>
      <c r="N203" s="18"/>
      <c r="O203" s="26" t="s">
        <v>1036</v>
      </c>
    </row>
    <row r="204" spans="1:15" ht="15" x14ac:dyDescent="0.25">
      <c r="A204">
        <v>202</v>
      </c>
      <c r="B204" s="8" t="s">
        <v>195</v>
      </c>
      <c r="C204" s="21" t="s">
        <v>1184</v>
      </c>
      <c r="D204" s="22" t="s">
        <v>16</v>
      </c>
      <c r="E204" s="15">
        <v>949</v>
      </c>
      <c r="F204" s="23">
        <v>478</v>
      </c>
      <c r="G204" s="24" t="s">
        <v>6</v>
      </c>
      <c r="H204" s="18">
        <v>1</v>
      </c>
      <c r="I204" s="19">
        <f>VLOOKUP(B204,[1]Лист2!$A:$J,10,0)</f>
        <v>666.84500000000003</v>
      </c>
      <c r="J204" s="29">
        <v>673.51345000000003</v>
      </c>
      <c r="K204" s="19">
        <f t="shared" si="3"/>
        <v>-275.48654999999997</v>
      </c>
      <c r="L204" s="18"/>
      <c r="M204" s="18"/>
      <c r="N204" s="18"/>
      <c r="O204" s="26" t="s">
        <v>1036</v>
      </c>
    </row>
    <row r="205" spans="1:15" ht="15" x14ac:dyDescent="0.25">
      <c r="A205">
        <v>203</v>
      </c>
      <c r="B205" s="7" t="s">
        <v>196</v>
      </c>
      <c r="C205" s="13" t="s">
        <v>1185</v>
      </c>
      <c r="D205" s="14" t="s">
        <v>16</v>
      </c>
      <c r="E205" s="15">
        <v>66</v>
      </c>
      <c r="F205" s="16">
        <v>50.45</v>
      </c>
      <c r="G205" s="17" t="s">
        <v>9</v>
      </c>
      <c r="H205" s="18">
        <v>1</v>
      </c>
      <c r="I205" s="19">
        <f>VLOOKUP(B205,[1]Лист2!$A:$J,10,0)</f>
        <v>12.805</v>
      </c>
      <c r="J205" s="19">
        <v>48.432000000000002</v>
      </c>
      <c r="K205" s="19">
        <f t="shared" si="3"/>
        <v>-17.567999999999998</v>
      </c>
      <c r="L205" s="18"/>
      <c r="M205" s="18"/>
      <c r="N205" s="18"/>
      <c r="O205" s="26" t="s">
        <v>1036</v>
      </c>
    </row>
    <row r="206" spans="1:15" ht="15" x14ac:dyDescent="0.25">
      <c r="A206">
        <v>204</v>
      </c>
      <c r="B206" s="8" t="s">
        <v>197</v>
      </c>
      <c r="C206" s="21" t="s">
        <v>1186</v>
      </c>
      <c r="D206" s="22" t="s">
        <v>16</v>
      </c>
      <c r="E206" s="15">
        <v>312</v>
      </c>
      <c r="F206" s="23">
        <v>232</v>
      </c>
      <c r="G206" s="24" t="s">
        <v>6</v>
      </c>
      <c r="H206" s="18">
        <v>1</v>
      </c>
      <c r="I206" s="19">
        <f>VLOOKUP(B206,[1]Лист2!$A:$J,10,0)</f>
        <v>209.80500000000001</v>
      </c>
      <c r="J206" s="19">
        <v>222.72</v>
      </c>
      <c r="K206" s="19">
        <f t="shared" si="3"/>
        <v>-89.28</v>
      </c>
      <c r="L206" s="18"/>
      <c r="M206" s="18"/>
      <c r="N206" s="18"/>
      <c r="O206" s="26" t="s">
        <v>1036</v>
      </c>
    </row>
    <row r="207" spans="1:15" ht="15" x14ac:dyDescent="0.25">
      <c r="A207">
        <v>205</v>
      </c>
      <c r="B207" s="7" t="s">
        <v>198</v>
      </c>
      <c r="C207" s="13" t="s">
        <v>1186</v>
      </c>
      <c r="D207" s="14" t="s">
        <v>16</v>
      </c>
      <c r="E207" s="15">
        <v>305</v>
      </c>
      <c r="F207" s="16">
        <v>25</v>
      </c>
      <c r="G207" s="17" t="s">
        <v>6</v>
      </c>
      <c r="H207" s="18">
        <v>1</v>
      </c>
      <c r="I207" s="19">
        <f>VLOOKUP(B207,[1]Лист2!$A:$J,10,0)</f>
        <v>10.834999999999999</v>
      </c>
      <c r="J207" s="19">
        <v>65</v>
      </c>
      <c r="K207" s="19">
        <f t="shared" si="3"/>
        <v>-240</v>
      </c>
      <c r="L207" s="18"/>
      <c r="M207" s="18"/>
      <c r="N207" s="18"/>
      <c r="O207" s="26" t="s">
        <v>1036</v>
      </c>
    </row>
    <row r="208" spans="1:15" ht="15" x14ac:dyDescent="0.25">
      <c r="A208">
        <v>206</v>
      </c>
      <c r="B208" s="8" t="s">
        <v>198</v>
      </c>
      <c r="C208" s="21" t="s">
        <v>1186</v>
      </c>
      <c r="D208" s="22" t="s">
        <v>16</v>
      </c>
      <c r="E208" s="15">
        <v>305</v>
      </c>
      <c r="F208" s="23">
        <v>25</v>
      </c>
      <c r="G208" s="24" t="s">
        <v>6</v>
      </c>
      <c r="H208" s="18">
        <v>1</v>
      </c>
      <c r="I208" s="19">
        <f>VLOOKUP(B208,[1]Лист2!$A:$J,10,0)</f>
        <v>10.834999999999999</v>
      </c>
      <c r="J208" s="19">
        <v>65</v>
      </c>
      <c r="K208" s="19">
        <f t="shared" si="3"/>
        <v>-240</v>
      </c>
      <c r="L208" s="18"/>
      <c r="M208" s="18"/>
      <c r="N208" s="18"/>
      <c r="O208" s="26" t="s">
        <v>1036</v>
      </c>
    </row>
    <row r="209" spans="1:15" ht="15" x14ac:dyDescent="0.25">
      <c r="A209">
        <v>207</v>
      </c>
      <c r="B209" s="7" t="s">
        <v>198</v>
      </c>
      <c r="C209" s="13" t="s">
        <v>1186</v>
      </c>
      <c r="D209" s="14" t="s">
        <v>16</v>
      </c>
      <c r="E209" s="15">
        <v>305</v>
      </c>
      <c r="F209" s="16">
        <v>25</v>
      </c>
      <c r="G209" s="17" t="s">
        <v>6</v>
      </c>
      <c r="H209" s="18">
        <v>1</v>
      </c>
      <c r="I209" s="19">
        <f>VLOOKUP(B209,[1]Лист2!$A:$J,10,0)</f>
        <v>10.834999999999999</v>
      </c>
      <c r="J209" s="19">
        <v>65</v>
      </c>
      <c r="K209" s="19">
        <f t="shared" si="3"/>
        <v>-240</v>
      </c>
      <c r="L209" s="18"/>
      <c r="M209" s="18"/>
      <c r="N209" s="18"/>
      <c r="O209" s="26" t="s">
        <v>1036</v>
      </c>
    </row>
    <row r="210" spans="1:15" ht="15" x14ac:dyDescent="0.25">
      <c r="A210">
        <v>208</v>
      </c>
      <c r="B210" s="8" t="s">
        <v>198</v>
      </c>
      <c r="C210" s="21" t="s">
        <v>1186</v>
      </c>
      <c r="D210" s="22" t="s">
        <v>16</v>
      </c>
      <c r="E210" s="15">
        <v>305</v>
      </c>
      <c r="F210" s="23">
        <v>25</v>
      </c>
      <c r="G210" s="24" t="s">
        <v>6</v>
      </c>
      <c r="H210" s="18">
        <v>1</v>
      </c>
      <c r="I210" s="19">
        <f>VLOOKUP(B210,[1]Лист2!$A:$J,10,0)</f>
        <v>10.834999999999999</v>
      </c>
      <c r="J210" s="19">
        <v>24</v>
      </c>
      <c r="K210" s="19">
        <f t="shared" si="3"/>
        <v>-281</v>
      </c>
      <c r="L210" s="18"/>
      <c r="M210" s="18"/>
      <c r="N210" s="18"/>
      <c r="O210" s="26" t="s">
        <v>1036</v>
      </c>
    </row>
    <row r="211" spans="1:15" ht="15" x14ac:dyDescent="0.25">
      <c r="A211">
        <v>209</v>
      </c>
      <c r="B211" s="7" t="s">
        <v>199</v>
      </c>
      <c r="C211" s="13" t="s">
        <v>1187</v>
      </c>
      <c r="D211" s="14" t="s">
        <v>16</v>
      </c>
      <c r="E211" s="16">
        <v>843</v>
      </c>
      <c r="F211" s="15">
        <v>1042</v>
      </c>
      <c r="G211" s="17" t="s">
        <v>6</v>
      </c>
      <c r="H211" s="18">
        <v>1</v>
      </c>
      <c r="I211" s="19">
        <f>VLOOKUP(B211,[1]Лист2!$A:$J,10,0)</f>
        <v>816.56499999999994</v>
      </c>
      <c r="J211" s="19">
        <v>1000.3199999999999</v>
      </c>
      <c r="K211" s="19">
        <f t="shared" si="3"/>
        <v>157.31999999999994</v>
      </c>
      <c r="L211" s="18"/>
      <c r="M211" s="18"/>
      <c r="N211" s="18"/>
      <c r="O211" s="26" t="s">
        <v>1036</v>
      </c>
    </row>
    <row r="212" spans="1:15" ht="15" x14ac:dyDescent="0.25">
      <c r="A212">
        <v>210</v>
      </c>
      <c r="B212" s="8" t="s">
        <v>199</v>
      </c>
      <c r="C212" s="21" t="s">
        <v>1187</v>
      </c>
      <c r="D212" s="22" t="s">
        <v>16</v>
      </c>
      <c r="E212" s="23">
        <v>843</v>
      </c>
      <c r="F212" s="15">
        <v>1042</v>
      </c>
      <c r="G212" s="24" t="s">
        <v>6</v>
      </c>
      <c r="H212" s="18">
        <v>1</v>
      </c>
      <c r="I212" s="19">
        <f>VLOOKUP(B212,[1]Лист2!$A:$J,10,0)</f>
        <v>816.56499999999994</v>
      </c>
      <c r="J212" s="19">
        <v>1000.3199999999999</v>
      </c>
      <c r="K212" s="19">
        <f t="shared" si="3"/>
        <v>157.31999999999994</v>
      </c>
      <c r="L212" s="18"/>
      <c r="M212" s="18"/>
      <c r="N212" s="18"/>
      <c r="O212" s="26" t="s">
        <v>1036</v>
      </c>
    </row>
    <row r="213" spans="1:15" ht="15" x14ac:dyDescent="0.25">
      <c r="A213">
        <v>211</v>
      </c>
      <c r="B213" s="7" t="s">
        <v>200</v>
      </c>
      <c r="C213" s="13" t="s">
        <v>1188</v>
      </c>
      <c r="D213" s="14" t="s">
        <v>16</v>
      </c>
      <c r="E213" s="16">
        <v>31</v>
      </c>
      <c r="F213" s="15">
        <v>33.89</v>
      </c>
      <c r="G213" s="17" t="s">
        <v>71</v>
      </c>
      <c r="H213" s="18">
        <v>1</v>
      </c>
      <c r="I213" s="19">
        <f>VLOOKUP(B213,[1]Лист2!$A:$J,10,0)</f>
        <v>10.834999999999999</v>
      </c>
      <c r="J213" s="19">
        <v>32.534399999999998</v>
      </c>
      <c r="K213" s="19">
        <f t="shared" si="3"/>
        <v>1.534399999999998</v>
      </c>
      <c r="L213" s="18"/>
      <c r="M213" s="18"/>
      <c r="N213" s="18"/>
      <c r="O213" s="26" t="s">
        <v>1036</v>
      </c>
    </row>
    <row r="214" spans="1:15" ht="15" x14ac:dyDescent="0.25">
      <c r="A214">
        <v>212</v>
      </c>
      <c r="B214" s="8" t="s">
        <v>200</v>
      </c>
      <c r="C214" s="21" t="s">
        <v>1188</v>
      </c>
      <c r="D214" s="22" t="s">
        <v>16</v>
      </c>
      <c r="E214" s="23">
        <v>31</v>
      </c>
      <c r="F214" s="15">
        <v>33.89</v>
      </c>
      <c r="G214" s="24" t="s">
        <v>71</v>
      </c>
      <c r="H214" s="18">
        <v>6</v>
      </c>
      <c r="I214" s="19">
        <f>VLOOKUP(B214,[1]Лист2!$A:$J,10,0)</f>
        <v>10.834999999999999</v>
      </c>
      <c r="J214" s="19">
        <v>32.534399999999998</v>
      </c>
      <c r="K214" s="19">
        <f t="shared" si="3"/>
        <v>1.534399999999998</v>
      </c>
      <c r="L214" s="18"/>
      <c r="M214" s="18"/>
      <c r="N214" s="18"/>
      <c r="O214" s="26" t="s">
        <v>1036</v>
      </c>
    </row>
    <row r="215" spans="1:15" ht="15" x14ac:dyDescent="0.25">
      <c r="A215">
        <v>213</v>
      </c>
      <c r="B215" s="7" t="s">
        <v>201</v>
      </c>
      <c r="C215" s="13" t="s">
        <v>1188</v>
      </c>
      <c r="D215" s="14" t="s">
        <v>16</v>
      </c>
      <c r="E215" s="15">
        <v>44</v>
      </c>
      <c r="F215" s="16">
        <v>24.28</v>
      </c>
      <c r="G215" s="17" t="s">
        <v>71</v>
      </c>
      <c r="H215" s="18">
        <v>8</v>
      </c>
      <c r="I215" s="19">
        <f>VLOOKUP(B215,[1]Лист2!$A:$J,10,0)</f>
        <v>6.8949999999999996</v>
      </c>
      <c r="J215" s="19">
        <v>30</v>
      </c>
      <c r="K215" s="19">
        <f t="shared" si="3"/>
        <v>-14</v>
      </c>
      <c r="L215" s="18"/>
      <c r="M215" s="18"/>
      <c r="N215" s="18"/>
      <c r="O215" s="26" t="s">
        <v>1036</v>
      </c>
    </row>
    <row r="216" spans="1:15" ht="15" x14ac:dyDescent="0.25">
      <c r="A216">
        <v>214</v>
      </c>
      <c r="B216" s="8" t="s">
        <v>201</v>
      </c>
      <c r="C216" s="21" t="s">
        <v>1188</v>
      </c>
      <c r="D216" s="22" t="s">
        <v>16</v>
      </c>
      <c r="E216" s="15">
        <v>44</v>
      </c>
      <c r="F216" s="23">
        <v>24.28</v>
      </c>
      <c r="G216" s="24" t="s">
        <v>71</v>
      </c>
      <c r="H216" s="18">
        <v>1</v>
      </c>
      <c r="I216" s="19">
        <f>VLOOKUP(B216,[1]Лист2!$A:$J,10,0)</f>
        <v>6.8949999999999996</v>
      </c>
      <c r="J216" s="19">
        <v>30</v>
      </c>
      <c r="K216" s="19">
        <f t="shared" si="3"/>
        <v>-14</v>
      </c>
      <c r="L216" s="18"/>
      <c r="M216" s="18"/>
      <c r="N216" s="18"/>
      <c r="O216" s="26" t="s">
        <v>1036</v>
      </c>
    </row>
    <row r="217" spans="1:15" ht="15" x14ac:dyDescent="0.25">
      <c r="A217">
        <v>215</v>
      </c>
      <c r="B217" s="7" t="s">
        <v>202</v>
      </c>
      <c r="C217" s="13" t="s">
        <v>1189</v>
      </c>
      <c r="D217" s="14" t="s">
        <v>16</v>
      </c>
      <c r="E217" s="15">
        <v>689</v>
      </c>
      <c r="F217" s="16">
        <v>596</v>
      </c>
      <c r="G217" s="17" t="s">
        <v>6</v>
      </c>
      <c r="H217" s="18">
        <v>1</v>
      </c>
      <c r="I217" s="19">
        <f>VLOOKUP(B217,[1]Лист2!$A:$J,10,0)</f>
        <v>650.1</v>
      </c>
      <c r="J217" s="29">
        <v>656.601</v>
      </c>
      <c r="K217" s="19">
        <f t="shared" si="3"/>
        <v>-32.399000000000001</v>
      </c>
      <c r="L217" s="18"/>
      <c r="M217" s="18"/>
      <c r="N217" s="18"/>
      <c r="O217" s="26" t="s">
        <v>1036</v>
      </c>
    </row>
    <row r="218" spans="1:15" ht="15" x14ac:dyDescent="0.25">
      <c r="A218">
        <v>216</v>
      </c>
      <c r="B218" s="8" t="s">
        <v>202</v>
      </c>
      <c r="C218" s="21" t="s">
        <v>1189</v>
      </c>
      <c r="D218" s="22" t="s">
        <v>16</v>
      </c>
      <c r="E218" s="15">
        <v>633</v>
      </c>
      <c r="F218" s="23">
        <v>596</v>
      </c>
      <c r="G218" s="24" t="s">
        <v>6</v>
      </c>
      <c r="H218" s="18">
        <v>2</v>
      </c>
      <c r="I218" s="19">
        <f>VLOOKUP(B218,[1]Лист2!$A:$J,10,0)</f>
        <v>650.1</v>
      </c>
      <c r="J218" s="29">
        <v>656.601</v>
      </c>
      <c r="K218" s="19">
        <f t="shared" si="3"/>
        <v>23.600999999999999</v>
      </c>
      <c r="L218" s="18"/>
      <c r="M218" s="18"/>
      <c r="N218" s="18"/>
      <c r="O218" s="26" t="s">
        <v>1036</v>
      </c>
    </row>
    <row r="219" spans="1:15" ht="15" x14ac:dyDescent="0.25">
      <c r="A219">
        <v>217</v>
      </c>
      <c r="B219" s="7" t="s">
        <v>203</v>
      </c>
      <c r="C219" s="13" t="s">
        <v>1188</v>
      </c>
      <c r="D219" s="14" t="s">
        <v>16</v>
      </c>
      <c r="E219" s="15">
        <v>25</v>
      </c>
      <c r="F219" s="16">
        <v>8.4</v>
      </c>
      <c r="G219" s="17" t="s">
        <v>71</v>
      </c>
      <c r="H219" s="18">
        <v>2</v>
      </c>
      <c r="I219" s="19">
        <f>VLOOKUP(B219,[1]Лист2!$A:$J,10,0)</f>
        <v>8.8650000000000002</v>
      </c>
      <c r="J219" s="29">
        <v>21</v>
      </c>
      <c r="K219" s="19">
        <f t="shared" si="3"/>
        <v>-4</v>
      </c>
      <c r="L219" s="18"/>
      <c r="M219" s="18"/>
      <c r="N219" s="18"/>
      <c r="O219" s="26" t="s">
        <v>1036</v>
      </c>
    </row>
    <row r="220" spans="1:15" ht="15" x14ac:dyDescent="0.25">
      <c r="A220">
        <v>218</v>
      </c>
      <c r="B220" s="8" t="s">
        <v>203</v>
      </c>
      <c r="C220" s="21" t="s">
        <v>1188</v>
      </c>
      <c r="D220" s="22" t="s">
        <v>16</v>
      </c>
      <c r="E220" s="15">
        <v>18</v>
      </c>
      <c r="F220" s="23">
        <v>8.4</v>
      </c>
      <c r="G220" s="24" t="s">
        <v>71</v>
      </c>
      <c r="H220" s="18">
        <v>5</v>
      </c>
      <c r="I220" s="19">
        <f>VLOOKUP(B220,[1]Лист2!$A:$J,10,0)</f>
        <v>8.8650000000000002</v>
      </c>
      <c r="J220" s="29">
        <v>11</v>
      </c>
      <c r="K220" s="19">
        <f t="shared" si="3"/>
        <v>-7</v>
      </c>
      <c r="L220" s="18"/>
      <c r="M220" s="18"/>
      <c r="N220" s="18"/>
      <c r="O220" s="26" t="s">
        <v>1036</v>
      </c>
    </row>
    <row r="221" spans="1:15" ht="15" x14ac:dyDescent="0.25">
      <c r="A221">
        <v>219</v>
      </c>
      <c r="B221" s="7" t="s">
        <v>204</v>
      </c>
      <c r="C221" s="13" t="s">
        <v>1190</v>
      </c>
      <c r="D221" s="14" t="s">
        <v>16</v>
      </c>
      <c r="E221" s="16">
        <v>33</v>
      </c>
      <c r="F221" s="15">
        <v>50</v>
      </c>
      <c r="G221" s="17" t="s">
        <v>6</v>
      </c>
      <c r="H221" s="18">
        <v>1</v>
      </c>
      <c r="I221" s="19"/>
      <c r="J221" s="19">
        <v>48</v>
      </c>
      <c r="K221" s="19">
        <f t="shared" si="3"/>
        <v>15</v>
      </c>
      <c r="L221" s="18"/>
      <c r="M221" s="18"/>
      <c r="N221" s="18"/>
      <c r="O221" s="26" t="s">
        <v>1036</v>
      </c>
    </row>
    <row r="222" spans="1:15" ht="15" x14ac:dyDescent="0.25">
      <c r="A222">
        <v>220</v>
      </c>
      <c r="B222" s="8" t="s">
        <v>205</v>
      </c>
      <c r="C222" s="21" t="s">
        <v>1190</v>
      </c>
      <c r="D222" s="22" t="s">
        <v>16</v>
      </c>
      <c r="E222" s="15">
        <v>79</v>
      </c>
      <c r="F222" s="23">
        <v>73</v>
      </c>
      <c r="G222" s="24" t="s">
        <v>6</v>
      </c>
      <c r="H222" s="18">
        <v>3</v>
      </c>
      <c r="I222" s="19">
        <f>VLOOKUP(B222,[1]Лист2!$A:$J,10,0)</f>
        <v>44.325000000000003</v>
      </c>
      <c r="J222" s="19">
        <v>70.08</v>
      </c>
      <c r="K222" s="19">
        <f t="shared" si="3"/>
        <v>-8.9200000000000017</v>
      </c>
      <c r="L222" s="18"/>
      <c r="M222" s="18"/>
      <c r="N222" s="18"/>
      <c r="O222" s="26" t="s">
        <v>1036</v>
      </c>
    </row>
    <row r="223" spans="1:15" ht="15" x14ac:dyDescent="0.25">
      <c r="A223">
        <v>221</v>
      </c>
      <c r="B223" s="7" t="s">
        <v>205</v>
      </c>
      <c r="C223" s="13" t="s">
        <v>1190</v>
      </c>
      <c r="D223" s="14" t="s">
        <v>16</v>
      </c>
      <c r="E223" s="15">
        <v>79</v>
      </c>
      <c r="F223" s="16">
        <v>73</v>
      </c>
      <c r="G223" s="17" t="s">
        <v>6</v>
      </c>
      <c r="H223" s="18">
        <v>5</v>
      </c>
      <c r="I223" s="19">
        <f>VLOOKUP(B223,[1]Лист2!$A:$J,10,0)</f>
        <v>44.325000000000003</v>
      </c>
      <c r="J223" s="19">
        <v>70.08</v>
      </c>
      <c r="K223" s="19">
        <f t="shared" si="3"/>
        <v>-8.9200000000000017</v>
      </c>
      <c r="L223" s="18"/>
      <c r="M223" s="18"/>
      <c r="N223" s="18"/>
      <c r="O223" s="26" t="s">
        <v>1036</v>
      </c>
    </row>
    <row r="224" spans="1:15" ht="15" x14ac:dyDescent="0.25">
      <c r="A224">
        <v>222</v>
      </c>
      <c r="B224" s="8" t="s">
        <v>206</v>
      </c>
      <c r="C224" s="21" t="s">
        <v>1191</v>
      </c>
      <c r="D224" s="22" t="s">
        <v>16</v>
      </c>
      <c r="E224" s="15">
        <v>176</v>
      </c>
      <c r="F224" s="23">
        <v>156</v>
      </c>
      <c r="G224" s="24" t="s">
        <v>6</v>
      </c>
      <c r="H224" s="18">
        <v>1</v>
      </c>
      <c r="I224" s="19">
        <f>VLOOKUP(B224,[1]Лист2!$A:$J,10,0)</f>
        <v>152.67500000000001</v>
      </c>
      <c r="J224" s="29">
        <v>154.20175</v>
      </c>
      <c r="K224" s="19">
        <f t="shared" si="3"/>
        <v>-21.798249999999996</v>
      </c>
      <c r="L224" s="18"/>
      <c r="M224" s="18"/>
      <c r="N224" s="18"/>
      <c r="O224" s="26" t="s">
        <v>1036</v>
      </c>
    </row>
    <row r="225" spans="1:15" ht="15" x14ac:dyDescent="0.25">
      <c r="A225">
        <v>223</v>
      </c>
      <c r="B225" s="7" t="s">
        <v>207</v>
      </c>
      <c r="C225" s="13" t="s">
        <v>1192</v>
      </c>
      <c r="D225" s="14" t="s">
        <v>16</v>
      </c>
      <c r="E225" s="16">
        <v>214</v>
      </c>
      <c r="F225" s="15">
        <v>323</v>
      </c>
      <c r="G225" s="17" t="s">
        <v>6</v>
      </c>
      <c r="H225" s="18">
        <v>1</v>
      </c>
      <c r="I225" s="19"/>
      <c r="J225" s="19">
        <v>310.08</v>
      </c>
      <c r="K225" s="19">
        <f t="shared" si="3"/>
        <v>96.079999999999984</v>
      </c>
      <c r="L225" s="18"/>
      <c r="M225" s="18"/>
      <c r="N225" s="18"/>
      <c r="O225" s="26" t="s">
        <v>1036</v>
      </c>
    </row>
    <row r="226" spans="1:15" ht="15" x14ac:dyDescent="0.25">
      <c r="A226">
        <v>224</v>
      </c>
      <c r="B226" s="8" t="s">
        <v>208</v>
      </c>
      <c r="C226" s="21" t="s">
        <v>1193</v>
      </c>
      <c r="D226" s="22" t="s">
        <v>16</v>
      </c>
      <c r="E226" s="23">
        <v>213</v>
      </c>
      <c r="F226" s="15">
        <v>322</v>
      </c>
      <c r="G226" s="24" t="s">
        <v>6</v>
      </c>
      <c r="H226" s="18">
        <v>1</v>
      </c>
      <c r="I226" s="19"/>
      <c r="J226" s="19">
        <v>309.12</v>
      </c>
      <c r="K226" s="19">
        <f t="shared" si="3"/>
        <v>96.12</v>
      </c>
      <c r="L226" s="18"/>
      <c r="M226" s="18"/>
      <c r="N226" s="18"/>
      <c r="O226" s="26" t="s">
        <v>1036</v>
      </c>
    </row>
    <row r="227" spans="1:15" ht="15" x14ac:dyDescent="0.25">
      <c r="A227">
        <v>225</v>
      </c>
      <c r="B227" s="7" t="s">
        <v>209</v>
      </c>
      <c r="C227" s="13" t="s">
        <v>1194</v>
      </c>
      <c r="D227" s="14" t="s">
        <v>16</v>
      </c>
      <c r="E227" s="16">
        <v>274</v>
      </c>
      <c r="F227" s="15">
        <v>329</v>
      </c>
      <c r="G227" s="17" t="s">
        <v>6</v>
      </c>
      <c r="H227" s="18">
        <v>1</v>
      </c>
      <c r="I227" s="19"/>
      <c r="J227" s="19">
        <v>315.83999999999997</v>
      </c>
      <c r="K227" s="19">
        <f t="shared" si="3"/>
        <v>41.839999999999975</v>
      </c>
      <c r="L227" s="18"/>
      <c r="M227" s="18"/>
      <c r="N227" s="18"/>
      <c r="O227" s="26" t="s">
        <v>1036</v>
      </c>
    </row>
    <row r="228" spans="1:15" ht="15" x14ac:dyDescent="0.25">
      <c r="A228">
        <v>226</v>
      </c>
      <c r="B228" s="8" t="s">
        <v>210</v>
      </c>
      <c r="C228" s="21" t="s">
        <v>1195</v>
      </c>
      <c r="D228" s="22" t="s">
        <v>16</v>
      </c>
      <c r="E228" s="23">
        <v>41</v>
      </c>
      <c r="F228" s="15">
        <v>49</v>
      </c>
      <c r="G228" s="24" t="s">
        <v>6</v>
      </c>
      <c r="H228" s="18">
        <v>1</v>
      </c>
      <c r="I228" s="19"/>
      <c r="J228" s="19">
        <v>47.04</v>
      </c>
      <c r="K228" s="19">
        <f t="shared" si="3"/>
        <v>6.0399999999999991</v>
      </c>
      <c r="L228" s="18"/>
      <c r="M228" s="18"/>
      <c r="N228" s="18"/>
      <c r="O228" s="26" t="s">
        <v>1036</v>
      </c>
    </row>
    <row r="229" spans="1:15" ht="15" x14ac:dyDescent="0.25">
      <c r="A229">
        <v>227</v>
      </c>
      <c r="B229" s="7" t="s">
        <v>211</v>
      </c>
      <c r="C229" s="13" t="s">
        <v>1196</v>
      </c>
      <c r="D229" s="14" t="s">
        <v>16</v>
      </c>
      <c r="E229" s="16">
        <v>55</v>
      </c>
      <c r="F229" s="15">
        <v>81</v>
      </c>
      <c r="G229" s="17" t="s">
        <v>6</v>
      </c>
      <c r="H229" s="18">
        <v>4</v>
      </c>
      <c r="I229" s="19"/>
      <c r="J229" s="19">
        <v>77.759999999999991</v>
      </c>
      <c r="K229" s="19">
        <f t="shared" si="3"/>
        <v>22.759999999999991</v>
      </c>
      <c r="L229" s="18"/>
      <c r="M229" s="18"/>
      <c r="N229" s="18"/>
      <c r="O229" s="26" t="s">
        <v>1036</v>
      </c>
    </row>
    <row r="230" spans="1:15" ht="15" x14ac:dyDescent="0.25">
      <c r="A230">
        <v>228</v>
      </c>
      <c r="B230" s="8" t="s">
        <v>212</v>
      </c>
      <c r="C230" s="21" t="s">
        <v>1197</v>
      </c>
      <c r="D230" s="22" t="s">
        <v>16</v>
      </c>
      <c r="E230" s="23">
        <v>11</v>
      </c>
      <c r="F230" s="15">
        <v>29</v>
      </c>
      <c r="G230" s="24" t="s">
        <v>6</v>
      </c>
      <c r="H230" s="18">
        <v>3</v>
      </c>
      <c r="I230" s="19"/>
      <c r="J230" s="19">
        <v>27.84</v>
      </c>
      <c r="K230" s="19">
        <f t="shared" si="3"/>
        <v>16.84</v>
      </c>
      <c r="L230" s="18"/>
      <c r="M230" s="18"/>
      <c r="N230" s="18"/>
      <c r="O230" s="26" t="s">
        <v>1036</v>
      </c>
    </row>
    <row r="231" spans="1:15" ht="15" x14ac:dyDescent="0.25">
      <c r="A231">
        <v>229</v>
      </c>
      <c r="B231" s="7" t="s">
        <v>213</v>
      </c>
      <c r="C231" s="13" t="s">
        <v>1198</v>
      </c>
      <c r="D231" s="14" t="s">
        <v>16</v>
      </c>
      <c r="E231" s="15">
        <v>882</v>
      </c>
      <c r="F231" s="16">
        <v>224</v>
      </c>
      <c r="G231" s="17" t="s">
        <v>6</v>
      </c>
      <c r="H231" s="18">
        <v>1</v>
      </c>
      <c r="I231" s="19">
        <f>VLOOKUP(B231,[1]Лист2!$A:$J,10,0)</f>
        <v>243.29499999999999</v>
      </c>
      <c r="J231" s="29">
        <v>245.72794999999999</v>
      </c>
      <c r="K231" s="19">
        <f t="shared" si="3"/>
        <v>-636.27205000000004</v>
      </c>
      <c r="L231" s="18"/>
      <c r="M231" s="18"/>
      <c r="N231" s="18"/>
      <c r="O231" s="26" t="s">
        <v>1036</v>
      </c>
    </row>
    <row r="232" spans="1:15" ht="15" x14ac:dyDescent="0.25">
      <c r="A232">
        <v>230</v>
      </c>
      <c r="B232" s="8" t="s">
        <v>214</v>
      </c>
      <c r="C232" s="21" t="s">
        <v>1199</v>
      </c>
      <c r="D232" s="22" t="s">
        <v>64</v>
      </c>
      <c r="E232" s="23">
        <v>993</v>
      </c>
      <c r="F232" s="15">
        <v>1226</v>
      </c>
      <c r="G232" s="24" t="s">
        <v>6</v>
      </c>
      <c r="H232" s="18">
        <v>1</v>
      </c>
      <c r="I232" s="19"/>
      <c r="J232" s="19">
        <v>1176.96</v>
      </c>
      <c r="K232" s="19">
        <f t="shared" si="3"/>
        <v>183.96000000000004</v>
      </c>
      <c r="L232" s="18"/>
      <c r="M232" s="18"/>
      <c r="N232" s="18"/>
      <c r="O232" s="26" t="s">
        <v>1036</v>
      </c>
    </row>
    <row r="233" spans="1:15" ht="15" x14ac:dyDescent="0.25">
      <c r="A233">
        <v>231</v>
      </c>
      <c r="B233" s="7" t="s">
        <v>215</v>
      </c>
      <c r="C233" s="13" t="s">
        <v>1200</v>
      </c>
      <c r="D233" s="14" t="s">
        <v>8</v>
      </c>
      <c r="E233" s="16">
        <v>600</v>
      </c>
      <c r="F233" s="15">
        <v>854</v>
      </c>
      <c r="G233" s="17" t="s">
        <v>6</v>
      </c>
      <c r="H233" s="18">
        <v>1</v>
      </c>
      <c r="I233" s="19">
        <f>VLOOKUP(B233,[1]Лист2!$A:$J,10,0)</f>
        <v>392.03</v>
      </c>
      <c r="J233" s="19">
        <v>819.83999999999992</v>
      </c>
      <c r="K233" s="19">
        <f t="shared" si="3"/>
        <v>219.83999999999992</v>
      </c>
      <c r="L233" s="18"/>
      <c r="M233" s="18"/>
      <c r="N233" s="18"/>
      <c r="O233" s="26" t="s">
        <v>1036</v>
      </c>
    </row>
    <row r="234" spans="1:15" ht="15" x14ac:dyDescent="0.25">
      <c r="A234">
        <v>232</v>
      </c>
      <c r="B234" s="8" t="s">
        <v>216</v>
      </c>
      <c r="C234" s="21" t="s">
        <v>1201</v>
      </c>
      <c r="D234" s="22" t="s">
        <v>5</v>
      </c>
      <c r="E234" s="15">
        <v>60</v>
      </c>
      <c r="F234" s="23">
        <v>40</v>
      </c>
      <c r="G234" s="24" t="s">
        <v>6</v>
      </c>
      <c r="H234" s="18">
        <v>2</v>
      </c>
      <c r="I234" s="19"/>
      <c r="J234" s="19">
        <v>60.6</v>
      </c>
      <c r="K234" s="19">
        <f t="shared" si="3"/>
        <v>0.60000000000000142</v>
      </c>
      <c r="L234" s="18"/>
      <c r="M234" s="18"/>
      <c r="N234" s="18"/>
      <c r="O234" s="26" t="s">
        <v>1036</v>
      </c>
    </row>
    <row r="235" spans="1:15" ht="15" x14ac:dyDescent="0.25">
      <c r="A235">
        <v>233</v>
      </c>
      <c r="B235" s="7" t="s">
        <v>217</v>
      </c>
      <c r="C235" s="13" t="s">
        <v>1169</v>
      </c>
      <c r="D235" s="14" t="s">
        <v>5</v>
      </c>
      <c r="E235" s="16">
        <v>148</v>
      </c>
      <c r="F235" s="15">
        <v>198</v>
      </c>
      <c r="G235" s="17" t="s">
        <v>6</v>
      </c>
      <c r="H235" s="18">
        <v>1</v>
      </c>
      <c r="I235" s="19"/>
      <c r="J235" s="19">
        <v>190.07999999999998</v>
      </c>
      <c r="K235" s="19">
        <f t="shared" si="3"/>
        <v>42.079999999999984</v>
      </c>
      <c r="L235" s="18"/>
      <c r="M235" s="18"/>
      <c r="N235" s="18"/>
      <c r="O235" s="26" t="s">
        <v>1036</v>
      </c>
    </row>
    <row r="236" spans="1:15" ht="15" x14ac:dyDescent="0.25">
      <c r="A236">
        <v>234</v>
      </c>
      <c r="B236" s="8" t="s">
        <v>218</v>
      </c>
      <c r="C236" s="21" t="s">
        <v>1202</v>
      </c>
      <c r="D236" s="22" t="s">
        <v>5</v>
      </c>
      <c r="E236" s="23">
        <v>415</v>
      </c>
      <c r="F236" s="15">
        <v>539</v>
      </c>
      <c r="G236" s="24" t="s">
        <v>6</v>
      </c>
      <c r="H236" s="18">
        <v>1</v>
      </c>
      <c r="I236" s="19"/>
      <c r="J236" s="19">
        <v>517.43999999999994</v>
      </c>
      <c r="K236" s="19">
        <f t="shared" si="3"/>
        <v>102.43999999999994</v>
      </c>
      <c r="L236" s="18"/>
      <c r="M236" s="18"/>
      <c r="N236" s="18"/>
      <c r="O236" s="26" t="s">
        <v>1036</v>
      </c>
    </row>
    <row r="237" spans="1:15" ht="15" x14ac:dyDescent="0.25">
      <c r="A237">
        <v>235</v>
      </c>
      <c r="B237" s="7" t="s">
        <v>219</v>
      </c>
      <c r="C237" s="13" t="s">
        <v>1203</v>
      </c>
      <c r="D237" s="14" t="s">
        <v>16</v>
      </c>
      <c r="E237" s="15">
        <v>911</v>
      </c>
      <c r="F237" s="16">
        <v>177</v>
      </c>
      <c r="G237" s="17" t="s">
        <v>6</v>
      </c>
      <c r="H237" s="18">
        <v>1</v>
      </c>
      <c r="I237" s="19">
        <f>VLOOKUP(B237,[1]Лист2!$A:$J,10,0)</f>
        <v>174.345</v>
      </c>
      <c r="J237" s="29">
        <v>176.08844999999999</v>
      </c>
      <c r="K237" s="19">
        <f t="shared" si="3"/>
        <v>-734.91155000000003</v>
      </c>
      <c r="L237" s="18"/>
      <c r="M237" s="18"/>
      <c r="N237" s="18"/>
      <c r="O237" s="26" t="s">
        <v>1036</v>
      </c>
    </row>
    <row r="238" spans="1:15" ht="15" x14ac:dyDescent="0.25">
      <c r="A238">
        <v>236</v>
      </c>
      <c r="B238" s="8" t="s">
        <v>220</v>
      </c>
      <c r="C238" s="21" t="s">
        <v>1204</v>
      </c>
      <c r="D238" s="22" t="s">
        <v>16</v>
      </c>
      <c r="E238" s="15">
        <v>238</v>
      </c>
      <c r="F238" s="23">
        <v>169</v>
      </c>
      <c r="G238" s="24" t="s">
        <v>6</v>
      </c>
      <c r="H238" s="18">
        <v>1</v>
      </c>
      <c r="I238" s="19">
        <f>VLOOKUP(B238,[1]Лист2!$A:$J,10,0)</f>
        <v>144.79499999999999</v>
      </c>
      <c r="J238" s="19">
        <v>162.23999999999998</v>
      </c>
      <c r="K238" s="19">
        <f t="shared" si="3"/>
        <v>-75.760000000000019</v>
      </c>
      <c r="L238" s="18"/>
      <c r="M238" s="18"/>
      <c r="N238" s="18"/>
      <c r="O238" s="26" t="s">
        <v>1036</v>
      </c>
    </row>
    <row r="239" spans="1:15" ht="15" x14ac:dyDescent="0.25">
      <c r="A239">
        <v>237</v>
      </c>
      <c r="B239" s="7" t="s">
        <v>221</v>
      </c>
      <c r="C239" s="13" t="s">
        <v>1205</v>
      </c>
      <c r="D239" s="14" t="s">
        <v>16</v>
      </c>
      <c r="E239" s="15">
        <v>685</v>
      </c>
      <c r="F239" s="16">
        <v>139</v>
      </c>
      <c r="G239" s="17" t="s">
        <v>6</v>
      </c>
      <c r="H239" s="18">
        <v>2</v>
      </c>
      <c r="I239" s="19">
        <f>VLOOKUP(B239,[1]Лист2!$A:$J,10,0)</f>
        <v>102.44</v>
      </c>
      <c r="J239" s="19">
        <v>133.44</v>
      </c>
      <c r="K239" s="19">
        <f t="shared" si="3"/>
        <v>-551.55999999999995</v>
      </c>
      <c r="L239" s="18"/>
      <c r="M239" s="18"/>
      <c r="N239" s="18"/>
      <c r="O239" s="26" t="s">
        <v>1036</v>
      </c>
    </row>
    <row r="240" spans="1:15" ht="15" x14ac:dyDescent="0.25">
      <c r="A240">
        <v>238</v>
      </c>
      <c r="B240" s="8" t="s">
        <v>221</v>
      </c>
      <c r="C240" s="21" t="s">
        <v>1205</v>
      </c>
      <c r="D240" s="22" t="s">
        <v>16</v>
      </c>
      <c r="E240" s="15">
        <v>685</v>
      </c>
      <c r="F240" s="23">
        <v>139</v>
      </c>
      <c r="G240" s="24" t="s">
        <v>6</v>
      </c>
      <c r="H240" s="18">
        <v>3</v>
      </c>
      <c r="I240" s="19">
        <f>VLOOKUP(B240,[1]Лист2!$A:$J,10,0)</f>
        <v>102.44</v>
      </c>
      <c r="J240" s="19">
        <v>133.44</v>
      </c>
      <c r="K240" s="19">
        <f t="shared" si="3"/>
        <v>-551.55999999999995</v>
      </c>
      <c r="L240" s="18"/>
      <c r="M240" s="18"/>
      <c r="N240" s="18"/>
      <c r="O240" s="26" t="s">
        <v>1036</v>
      </c>
    </row>
    <row r="241" spans="1:15" ht="15" x14ac:dyDescent="0.25">
      <c r="A241">
        <v>239</v>
      </c>
      <c r="B241" s="7" t="s">
        <v>222</v>
      </c>
      <c r="C241" s="13" t="s">
        <v>1206</v>
      </c>
      <c r="D241" s="14" t="s">
        <v>16</v>
      </c>
      <c r="E241" s="15">
        <v>647</v>
      </c>
      <c r="F241" s="16">
        <v>338</v>
      </c>
      <c r="G241" s="17" t="s">
        <v>6</v>
      </c>
      <c r="H241" s="18">
        <v>1</v>
      </c>
      <c r="I241" s="19">
        <f>VLOOKUP(B241,[1]Лист2!$A:$J,10,0)</f>
        <v>305.35000000000002</v>
      </c>
      <c r="J241" s="19">
        <v>324.47999999999996</v>
      </c>
      <c r="K241" s="19">
        <f t="shared" si="3"/>
        <v>-322.52000000000004</v>
      </c>
      <c r="L241" s="18"/>
      <c r="M241" s="18"/>
      <c r="N241" s="18"/>
      <c r="O241" s="26" t="s">
        <v>1036</v>
      </c>
    </row>
    <row r="242" spans="1:15" ht="15" x14ac:dyDescent="0.25">
      <c r="A242">
        <v>240</v>
      </c>
      <c r="B242" s="8" t="s">
        <v>223</v>
      </c>
      <c r="C242" s="21" t="s">
        <v>1207</v>
      </c>
      <c r="D242" s="22" t="s">
        <v>165</v>
      </c>
      <c r="E242" s="23">
        <v>958</v>
      </c>
      <c r="F242" s="15">
        <v>1091</v>
      </c>
      <c r="G242" s="24" t="s">
        <v>6</v>
      </c>
      <c r="H242" s="18">
        <v>1</v>
      </c>
      <c r="I242" s="19">
        <f>VLOOKUP(B242,[1]Лист2!$A:$J,10,0)</f>
        <v>675.71</v>
      </c>
      <c r="J242" s="19">
        <v>1047.3599999999999</v>
      </c>
      <c r="K242" s="19">
        <f t="shared" si="3"/>
        <v>89.3599999999999</v>
      </c>
      <c r="L242" s="18"/>
      <c r="M242" s="18"/>
      <c r="N242" s="18"/>
      <c r="O242" s="26" t="s">
        <v>1036</v>
      </c>
    </row>
    <row r="243" spans="1:15" ht="15" x14ac:dyDescent="0.25">
      <c r="A243">
        <v>241</v>
      </c>
      <c r="B243" s="7" t="s">
        <v>224</v>
      </c>
      <c r="C243" s="13" t="s">
        <v>1092</v>
      </c>
      <c r="D243" s="14" t="s">
        <v>66</v>
      </c>
      <c r="E243" s="16">
        <v>577</v>
      </c>
      <c r="F243" s="15">
        <v>715</v>
      </c>
      <c r="G243" s="17" t="s">
        <v>6</v>
      </c>
      <c r="H243" s="18">
        <v>1</v>
      </c>
      <c r="I243" s="19"/>
      <c r="J243" s="19">
        <v>686.4</v>
      </c>
      <c r="K243" s="19">
        <f t="shared" si="3"/>
        <v>109.39999999999998</v>
      </c>
      <c r="L243" s="18"/>
      <c r="M243" s="18"/>
      <c r="N243" s="18"/>
      <c r="O243" s="26" t="s">
        <v>1036</v>
      </c>
    </row>
    <row r="244" spans="1:15" ht="15" x14ac:dyDescent="0.25">
      <c r="A244">
        <v>242</v>
      </c>
      <c r="B244" s="8" t="s">
        <v>225</v>
      </c>
      <c r="C244" s="21" t="s">
        <v>1208</v>
      </c>
      <c r="D244" s="22" t="s">
        <v>165</v>
      </c>
      <c r="E244" s="23">
        <v>685</v>
      </c>
      <c r="F244" s="15">
        <v>921</v>
      </c>
      <c r="G244" s="24" t="s">
        <v>6</v>
      </c>
      <c r="H244" s="18">
        <v>1</v>
      </c>
      <c r="I244" s="19"/>
      <c r="J244" s="19">
        <v>884.16</v>
      </c>
      <c r="K244" s="19">
        <f t="shared" si="3"/>
        <v>199.15999999999997</v>
      </c>
      <c r="L244" s="18"/>
      <c r="M244" s="18"/>
      <c r="N244" s="18"/>
      <c r="O244" s="26" t="s">
        <v>1036</v>
      </c>
    </row>
    <row r="245" spans="1:15" ht="15" x14ac:dyDescent="0.25">
      <c r="A245">
        <v>243</v>
      </c>
      <c r="B245" s="7" t="s">
        <v>226</v>
      </c>
      <c r="C245" s="13" t="s">
        <v>1209</v>
      </c>
      <c r="D245" s="14" t="s">
        <v>24</v>
      </c>
      <c r="E245" s="16">
        <v>591</v>
      </c>
      <c r="F245" s="15">
        <v>796</v>
      </c>
      <c r="G245" s="17" t="s">
        <v>6</v>
      </c>
      <c r="H245" s="18">
        <v>1</v>
      </c>
      <c r="I245" s="19"/>
      <c r="J245" s="19">
        <v>764.16</v>
      </c>
      <c r="K245" s="19">
        <f t="shared" si="3"/>
        <v>173.15999999999997</v>
      </c>
      <c r="L245" s="18"/>
      <c r="M245" s="18"/>
      <c r="N245" s="18"/>
      <c r="O245" s="26" t="s">
        <v>1036</v>
      </c>
    </row>
    <row r="246" spans="1:15" ht="15" x14ac:dyDescent="0.25">
      <c r="A246">
        <v>244</v>
      </c>
      <c r="B246" s="8" t="s">
        <v>227</v>
      </c>
      <c r="C246" s="21" t="s">
        <v>1210</v>
      </c>
      <c r="D246" s="22" t="s">
        <v>228</v>
      </c>
      <c r="E246" s="23">
        <v>133</v>
      </c>
      <c r="F246" s="15">
        <v>169.8</v>
      </c>
      <c r="G246" s="24" t="s">
        <v>71</v>
      </c>
      <c r="H246" s="18">
        <v>1</v>
      </c>
      <c r="I246" s="19"/>
      <c r="J246" s="19">
        <v>163.00800000000001</v>
      </c>
      <c r="K246" s="19">
        <f t="shared" si="3"/>
        <v>30.00800000000001</v>
      </c>
      <c r="L246" s="18"/>
      <c r="M246" s="18"/>
      <c r="N246" s="18"/>
      <c r="O246" s="26" t="s">
        <v>1036</v>
      </c>
    </row>
    <row r="247" spans="1:15" ht="15" x14ac:dyDescent="0.25">
      <c r="A247">
        <v>245</v>
      </c>
      <c r="B247" s="7" t="s">
        <v>229</v>
      </c>
      <c r="C247" s="13" t="s">
        <v>1211</v>
      </c>
      <c r="D247" s="14" t="s">
        <v>230</v>
      </c>
      <c r="E247" s="16">
        <v>905</v>
      </c>
      <c r="F247" s="15">
        <v>1117</v>
      </c>
      <c r="G247" s="17" t="s">
        <v>6</v>
      </c>
      <c r="H247" s="18">
        <v>1</v>
      </c>
      <c r="I247" s="19"/>
      <c r="J247" s="19">
        <v>1072.32</v>
      </c>
      <c r="K247" s="19">
        <f t="shared" si="3"/>
        <v>167.31999999999994</v>
      </c>
      <c r="L247" s="18"/>
      <c r="M247" s="18"/>
      <c r="N247" s="18"/>
      <c r="O247" s="26" t="s">
        <v>1036</v>
      </c>
    </row>
    <row r="248" spans="1:15" ht="15" x14ac:dyDescent="0.25">
      <c r="A248">
        <v>246</v>
      </c>
      <c r="B248" s="8" t="s">
        <v>231</v>
      </c>
      <c r="C248" s="21" t="s">
        <v>1212</v>
      </c>
      <c r="D248" s="22" t="s">
        <v>48</v>
      </c>
      <c r="E248" s="23">
        <v>622</v>
      </c>
      <c r="F248" s="15">
        <v>917</v>
      </c>
      <c r="G248" s="24" t="s">
        <v>6</v>
      </c>
      <c r="H248" s="18">
        <v>1</v>
      </c>
      <c r="I248" s="19"/>
      <c r="J248" s="19">
        <v>880.31999999999994</v>
      </c>
      <c r="K248" s="19">
        <f t="shared" si="3"/>
        <v>258.31999999999994</v>
      </c>
      <c r="L248" s="18"/>
      <c r="M248" s="18"/>
      <c r="N248" s="18"/>
      <c r="O248" s="26" t="s">
        <v>1036</v>
      </c>
    </row>
    <row r="249" spans="1:15" ht="15" x14ac:dyDescent="0.25">
      <c r="A249">
        <v>247</v>
      </c>
      <c r="B249" s="7" t="s">
        <v>232</v>
      </c>
      <c r="C249" s="13" t="s">
        <v>1213</v>
      </c>
      <c r="D249" s="14" t="s">
        <v>233</v>
      </c>
      <c r="E249" s="16">
        <v>422</v>
      </c>
      <c r="F249" s="15">
        <v>526</v>
      </c>
      <c r="G249" s="17" t="s">
        <v>6</v>
      </c>
      <c r="H249" s="18">
        <v>1</v>
      </c>
      <c r="I249" s="19"/>
      <c r="J249" s="19">
        <v>504.96</v>
      </c>
      <c r="K249" s="19">
        <f t="shared" si="3"/>
        <v>82.95999999999998</v>
      </c>
      <c r="L249" s="18"/>
      <c r="M249" s="18"/>
      <c r="N249" s="18"/>
      <c r="O249" s="26" t="s">
        <v>1036</v>
      </c>
    </row>
    <row r="250" spans="1:15" ht="15" x14ac:dyDescent="0.25">
      <c r="A250">
        <v>248</v>
      </c>
      <c r="B250" s="8" t="s">
        <v>234</v>
      </c>
      <c r="C250" s="21" t="s">
        <v>1214</v>
      </c>
      <c r="D250" s="22" t="s">
        <v>14</v>
      </c>
      <c r="E250" s="23">
        <v>25</v>
      </c>
      <c r="F250" s="15">
        <v>39</v>
      </c>
      <c r="G250" s="24" t="s">
        <v>6</v>
      </c>
      <c r="H250" s="18">
        <v>1</v>
      </c>
      <c r="I250" s="19"/>
      <c r="J250" s="19">
        <v>37.44</v>
      </c>
      <c r="K250" s="19">
        <f t="shared" si="3"/>
        <v>12.439999999999998</v>
      </c>
      <c r="L250" s="18"/>
      <c r="M250" s="18"/>
      <c r="N250" s="18"/>
      <c r="O250" s="26" t="s">
        <v>1036</v>
      </c>
    </row>
    <row r="251" spans="1:15" ht="15" x14ac:dyDescent="0.25">
      <c r="A251">
        <v>249</v>
      </c>
      <c r="B251" s="7" t="s">
        <v>235</v>
      </c>
      <c r="C251" s="13" t="s">
        <v>1215</v>
      </c>
      <c r="D251" s="14" t="s">
        <v>48</v>
      </c>
      <c r="E251" s="15">
        <v>88</v>
      </c>
      <c r="F251" s="16">
        <v>18.100000000000001</v>
      </c>
      <c r="G251" s="17" t="s">
        <v>9</v>
      </c>
      <c r="H251" s="18">
        <v>2</v>
      </c>
      <c r="I251" s="19">
        <f>VLOOKUP(B251,[1]Лист2!$A:$J,10,0)</f>
        <v>7.88</v>
      </c>
      <c r="J251" s="19">
        <v>50</v>
      </c>
      <c r="K251" s="19">
        <f t="shared" si="3"/>
        <v>-38</v>
      </c>
      <c r="L251" s="18"/>
      <c r="M251" s="18"/>
      <c r="N251" s="18"/>
      <c r="O251" s="26" t="s">
        <v>1036</v>
      </c>
    </row>
    <row r="252" spans="1:15" ht="15" x14ac:dyDescent="0.25">
      <c r="A252">
        <v>250</v>
      </c>
      <c r="B252" s="8" t="s">
        <v>236</v>
      </c>
      <c r="C252" s="21" t="s">
        <v>1216</v>
      </c>
      <c r="D252" s="22" t="s">
        <v>48</v>
      </c>
      <c r="E252" s="15">
        <v>872</v>
      </c>
      <c r="F252" s="23">
        <v>627</v>
      </c>
      <c r="G252" s="24" t="s">
        <v>6</v>
      </c>
      <c r="H252" s="18">
        <v>1</v>
      </c>
      <c r="I252" s="19">
        <f>VLOOKUP(B252,[1]Лист2!$A:$J,10,0)</f>
        <v>625.47500000000002</v>
      </c>
      <c r="J252" s="29">
        <v>631.72975000000008</v>
      </c>
      <c r="K252" s="19">
        <f t="shared" si="3"/>
        <v>-240.27024999999992</v>
      </c>
      <c r="L252" s="18"/>
      <c r="M252" s="18"/>
      <c r="N252" s="18"/>
      <c r="O252" s="26" t="s">
        <v>1036</v>
      </c>
    </row>
    <row r="253" spans="1:15" ht="15" x14ac:dyDescent="0.25">
      <c r="A253">
        <v>251</v>
      </c>
      <c r="B253" s="7" t="s">
        <v>237</v>
      </c>
      <c r="C253" s="13" t="s">
        <v>1217</v>
      </c>
      <c r="D253" s="14" t="s">
        <v>48</v>
      </c>
      <c r="E253" s="16">
        <v>239</v>
      </c>
      <c r="F253" s="15">
        <v>363</v>
      </c>
      <c r="G253" s="17" t="s">
        <v>6</v>
      </c>
      <c r="H253" s="18">
        <v>1</v>
      </c>
      <c r="I253" s="19"/>
      <c r="J253" s="19">
        <v>348.47999999999996</v>
      </c>
      <c r="K253" s="19">
        <f t="shared" si="3"/>
        <v>109.47999999999996</v>
      </c>
      <c r="L253" s="18"/>
      <c r="M253" s="18"/>
      <c r="N253" s="18"/>
      <c r="O253" s="26" t="s">
        <v>1036</v>
      </c>
    </row>
    <row r="254" spans="1:15" ht="15" x14ac:dyDescent="0.25">
      <c r="A254">
        <v>252</v>
      </c>
      <c r="B254" s="8" t="s">
        <v>237</v>
      </c>
      <c r="C254" s="21" t="s">
        <v>1217</v>
      </c>
      <c r="D254" s="22" t="s">
        <v>48</v>
      </c>
      <c r="E254" s="23">
        <v>258</v>
      </c>
      <c r="F254" s="15">
        <v>363</v>
      </c>
      <c r="G254" s="24" t="s">
        <v>6</v>
      </c>
      <c r="H254" s="18">
        <v>1</v>
      </c>
      <c r="I254" s="19"/>
      <c r="J254" s="19">
        <v>348.47999999999996</v>
      </c>
      <c r="K254" s="19">
        <f t="shared" si="3"/>
        <v>90.479999999999961</v>
      </c>
      <c r="L254" s="18"/>
      <c r="M254" s="18"/>
      <c r="N254" s="18"/>
      <c r="O254" s="26" t="s">
        <v>1036</v>
      </c>
    </row>
    <row r="255" spans="1:15" ht="15" x14ac:dyDescent="0.25">
      <c r="A255">
        <v>253</v>
      </c>
      <c r="B255" s="7" t="s">
        <v>237</v>
      </c>
      <c r="C255" s="13" t="s">
        <v>1217</v>
      </c>
      <c r="D255" s="14" t="s">
        <v>48</v>
      </c>
      <c r="E255" s="16">
        <v>279</v>
      </c>
      <c r="F255" s="15">
        <v>363</v>
      </c>
      <c r="G255" s="17" t="s">
        <v>6</v>
      </c>
      <c r="H255" s="18">
        <v>1</v>
      </c>
      <c r="I255" s="19"/>
      <c r="J255" s="19">
        <v>348.47999999999996</v>
      </c>
      <c r="K255" s="19">
        <f t="shared" si="3"/>
        <v>69.479999999999961</v>
      </c>
      <c r="L255" s="18"/>
      <c r="M255" s="18"/>
      <c r="N255" s="18"/>
      <c r="O255" s="26" t="s">
        <v>1036</v>
      </c>
    </row>
    <row r="256" spans="1:15" ht="15" x14ac:dyDescent="0.25">
      <c r="A256">
        <v>254</v>
      </c>
      <c r="B256" s="8" t="s">
        <v>238</v>
      </c>
      <c r="C256" s="21" t="s">
        <v>1218</v>
      </c>
      <c r="D256" s="22" t="s">
        <v>48</v>
      </c>
      <c r="E256" s="23">
        <v>499</v>
      </c>
      <c r="F256" s="15">
        <v>561.47</v>
      </c>
      <c r="G256" s="24" t="s">
        <v>71</v>
      </c>
      <c r="H256" s="18">
        <v>1</v>
      </c>
      <c r="I256" s="19"/>
      <c r="J256" s="19">
        <v>539.01120000000003</v>
      </c>
      <c r="K256" s="19">
        <f t="shared" si="3"/>
        <v>40.011200000000031</v>
      </c>
      <c r="L256" s="18"/>
      <c r="M256" s="18"/>
      <c r="N256" s="18"/>
      <c r="O256" s="26" t="s">
        <v>1036</v>
      </c>
    </row>
    <row r="257" spans="1:15" ht="15" x14ac:dyDescent="0.25">
      <c r="A257">
        <v>255</v>
      </c>
      <c r="B257" s="7" t="s">
        <v>238</v>
      </c>
      <c r="C257" s="13" t="s">
        <v>1218</v>
      </c>
      <c r="D257" s="14" t="s">
        <v>48</v>
      </c>
      <c r="E257" s="16">
        <v>497</v>
      </c>
      <c r="F257" s="15">
        <v>561.47</v>
      </c>
      <c r="G257" s="17" t="s">
        <v>71</v>
      </c>
      <c r="H257" s="18">
        <v>1</v>
      </c>
      <c r="I257" s="19"/>
      <c r="J257" s="19">
        <v>539.01120000000003</v>
      </c>
      <c r="K257" s="19">
        <f t="shared" si="3"/>
        <v>42.011200000000031</v>
      </c>
      <c r="L257" s="18"/>
      <c r="M257" s="18"/>
      <c r="N257" s="18"/>
      <c r="O257" s="26" t="s">
        <v>1036</v>
      </c>
    </row>
    <row r="258" spans="1:15" ht="15" x14ac:dyDescent="0.25">
      <c r="A258">
        <v>256</v>
      </c>
      <c r="B258" s="8" t="s">
        <v>239</v>
      </c>
      <c r="C258" s="21" t="s">
        <v>1219</v>
      </c>
      <c r="D258" s="22" t="s">
        <v>48</v>
      </c>
      <c r="E258" s="23">
        <v>284</v>
      </c>
      <c r="F258" s="15">
        <v>341</v>
      </c>
      <c r="G258" s="24" t="s">
        <v>6</v>
      </c>
      <c r="H258" s="18">
        <v>2</v>
      </c>
      <c r="I258" s="19"/>
      <c r="J258" s="19">
        <v>327.36</v>
      </c>
      <c r="K258" s="19">
        <f t="shared" si="3"/>
        <v>43.360000000000014</v>
      </c>
      <c r="L258" s="18"/>
      <c r="M258" s="18"/>
      <c r="N258" s="18"/>
      <c r="O258" s="26" t="s">
        <v>1036</v>
      </c>
    </row>
    <row r="259" spans="1:15" ht="15" x14ac:dyDescent="0.25">
      <c r="A259">
        <v>257</v>
      </c>
      <c r="B259" s="7" t="s">
        <v>240</v>
      </c>
      <c r="C259" s="13" t="s">
        <v>1220</v>
      </c>
      <c r="D259" s="14" t="s">
        <v>14</v>
      </c>
      <c r="E259" s="15">
        <v>64</v>
      </c>
      <c r="F259" s="16">
        <v>52</v>
      </c>
      <c r="G259" s="17" t="s">
        <v>6</v>
      </c>
      <c r="H259" s="18">
        <v>13</v>
      </c>
      <c r="I259" s="19"/>
      <c r="J259" s="19">
        <v>64.64</v>
      </c>
      <c r="K259" s="19">
        <f t="shared" ref="K259:K322" si="4">J259-E259</f>
        <v>0.64000000000000057</v>
      </c>
      <c r="L259" s="18"/>
      <c r="M259" s="18"/>
      <c r="N259" s="18"/>
      <c r="O259" s="26" t="s">
        <v>1036</v>
      </c>
    </row>
    <row r="260" spans="1:15" ht="15" x14ac:dyDescent="0.25">
      <c r="A260">
        <v>258</v>
      </c>
      <c r="B260" s="8" t="s">
        <v>241</v>
      </c>
      <c r="C260" s="21" t="s">
        <v>1221</v>
      </c>
      <c r="D260" s="22" t="s">
        <v>14</v>
      </c>
      <c r="E260" s="23">
        <v>1000</v>
      </c>
      <c r="F260" s="15">
        <v>1420</v>
      </c>
      <c r="G260" s="24" t="s">
        <v>6</v>
      </c>
      <c r="H260" s="18">
        <v>1</v>
      </c>
      <c r="I260" s="19"/>
      <c r="J260" s="19">
        <v>1363.2</v>
      </c>
      <c r="K260" s="19">
        <f t="shared" si="4"/>
        <v>363.20000000000005</v>
      </c>
      <c r="L260" s="18"/>
      <c r="M260" s="18"/>
      <c r="N260" s="18"/>
      <c r="O260" s="26" t="s">
        <v>1036</v>
      </c>
    </row>
    <row r="261" spans="1:15" ht="15" x14ac:dyDescent="0.25">
      <c r="A261">
        <v>259</v>
      </c>
      <c r="B261" s="7" t="s">
        <v>242</v>
      </c>
      <c r="C261" s="13" t="s">
        <v>1222</v>
      </c>
      <c r="D261" s="14" t="s">
        <v>14</v>
      </c>
      <c r="E261" s="16">
        <v>376</v>
      </c>
      <c r="F261" s="15">
        <v>441.82</v>
      </c>
      <c r="G261" s="17" t="s">
        <v>78</v>
      </c>
      <c r="H261" s="18">
        <v>2</v>
      </c>
      <c r="I261" s="19">
        <f>VLOOKUP(B261,[1]Лист2!$A:$J,10,0)</f>
        <v>245.26499999999999</v>
      </c>
      <c r="J261" s="19">
        <v>424.1472</v>
      </c>
      <c r="K261" s="19">
        <f t="shared" si="4"/>
        <v>48.147199999999998</v>
      </c>
      <c r="L261" s="18"/>
      <c r="M261" s="18"/>
      <c r="N261" s="18"/>
      <c r="O261" s="26" t="s">
        <v>1036</v>
      </c>
    </row>
    <row r="262" spans="1:15" ht="15" x14ac:dyDescent="0.25">
      <c r="A262">
        <v>260</v>
      </c>
      <c r="B262" s="8" t="s">
        <v>242</v>
      </c>
      <c r="C262" s="21" t="s">
        <v>1222</v>
      </c>
      <c r="D262" s="22" t="s">
        <v>14</v>
      </c>
      <c r="E262" s="23">
        <v>376</v>
      </c>
      <c r="F262" s="15">
        <v>441.82</v>
      </c>
      <c r="G262" s="24" t="s">
        <v>78</v>
      </c>
      <c r="H262" s="18">
        <v>3</v>
      </c>
      <c r="I262" s="19">
        <f>VLOOKUP(B262,[1]Лист2!$A:$J,10,0)</f>
        <v>245.26499999999999</v>
      </c>
      <c r="J262" s="19">
        <v>424.1472</v>
      </c>
      <c r="K262" s="19">
        <f t="shared" si="4"/>
        <v>48.147199999999998</v>
      </c>
      <c r="L262" s="18"/>
      <c r="M262" s="18"/>
      <c r="N262" s="18"/>
      <c r="O262" s="26" t="s">
        <v>1036</v>
      </c>
    </row>
    <row r="263" spans="1:15" ht="15" x14ac:dyDescent="0.25">
      <c r="A263">
        <v>261</v>
      </c>
      <c r="B263" s="7" t="s">
        <v>242</v>
      </c>
      <c r="C263" s="13" t="s">
        <v>1222</v>
      </c>
      <c r="D263" s="14" t="s">
        <v>14</v>
      </c>
      <c r="E263" s="16">
        <v>376</v>
      </c>
      <c r="F263" s="15">
        <v>441.82</v>
      </c>
      <c r="G263" s="17" t="s">
        <v>78</v>
      </c>
      <c r="H263" s="18">
        <v>1</v>
      </c>
      <c r="I263" s="19">
        <f>VLOOKUP(B263,[1]Лист2!$A:$J,10,0)</f>
        <v>245.26499999999999</v>
      </c>
      <c r="J263" s="19">
        <v>424.1472</v>
      </c>
      <c r="K263" s="19">
        <f t="shared" si="4"/>
        <v>48.147199999999998</v>
      </c>
      <c r="L263" s="18"/>
      <c r="M263" s="18"/>
      <c r="N263" s="18"/>
      <c r="O263" s="26" t="s">
        <v>1036</v>
      </c>
    </row>
    <row r="264" spans="1:15" ht="15" x14ac:dyDescent="0.25">
      <c r="A264">
        <v>262</v>
      </c>
      <c r="B264" s="8" t="s">
        <v>242</v>
      </c>
      <c r="C264" s="21" t="s">
        <v>1222</v>
      </c>
      <c r="D264" s="22" t="s">
        <v>14</v>
      </c>
      <c r="E264" s="23">
        <v>288</v>
      </c>
      <c r="F264" s="15">
        <v>441.82</v>
      </c>
      <c r="G264" s="24" t="s">
        <v>78</v>
      </c>
      <c r="H264" s="18">
        <v>2</v>
      </c>
      <c r="I264" s="19">
        <f>VLOOKUP(B264,[1]Лист2!$A:$J,10,0)</f>
        <v>245.26499999999999</v>
      </c>
      <c r="J264" s="19">
        <v>424.1472</v>
      </c>
      <c r="K264" s="19">
        <f t="shared" si="4"/>
        <v>136.1472</v>
      </c>
      <c r="L264" s="18"/>
      <c r="M264" s="18"/>
      <c r="N264" s="18"/>
      <c r="O264" s="26" t="s">
        <v>1036</v>
      </c>
    </row>
    <row r="265" spans="1:15" ht="15" x14ac:dyDescent="0.25">
      <c r="A265">
        <v>263</v>
      </c>
      <c r="B265" s="7" t="s">
        <v>243</v>
      </c>
      <c r="C265" s="13" t="s">
        <v>1223</v>
      </c>
      <c r="D265" s="14" t="s">
        <v>119</v>
      </c>
      <c r="E265" s="15">
        <v>117</v>
      </c>
      <c r="F265" s="16">
        <v>69</v>
      </c>
      <c r="G265" s="17" t="s">
        <v>6</v>
      </c>
      <c r="H265" s="18">
        <v>2</v>
      </c>
      <c r="I265" s="19"/>
      <c r="J265" s="19">
        <v>118.17</v>
      </c>
      <c r="K265" s="19">
        <f t="shared" si="4"/>
        <v>1.1700000000000017</v>
      </c>
      <c r="L265" s="18"/>
      <c r="M265" s="18"/>
      <c r="N265" s="18"/>
      <c r="O265" s="26" t="s">
        <v>1036</v>
      </c>
    </row>
    <row r="266" spans="1:15" ht="15" x14ac:dyDescent="0.25">
      <c r="A266">
        <v>264</v>
      </c>
      <c r="B266" s="8" t="s">
        <v>244</v>
      </c>
      <c r="C266" s="21" t="s">
        <v>1224</v>
      </c>
      <c r="D266" s="22" t="s">
        <v>119</v>
      </c>
      <c r="E266" s="15">
        <v>96</v>
      </c>
      <c r="F266" s="23">
        <v>10.8</v>
      </c>
      <c r="G266" s="24" t="s">
        <v>9</v>
      </c>
      <c r="H266" s="18">
        <v>5</v>
      </c>
      <c r="I266" s="19">
        <f>VLOOKUP(B266,[1]Лист2!$A:$J,10,0)</f>
        <v>3.94</v>
      </c>
      <c r="J266" s="19">
        <v>50</v>
      </c>
      <c r="K266" s="19">
        <f t="shared" si="4"/>
        <v>-46</v>
      </c>
      <c r="L266" s="18"/>
      <c r="M266" s="18"/>
      <c r="N266" s="18"/>
      <c r="O266" s="26" t="s">
        <v>1036</v>
      </c>
    </row>
    <row r="267" spans="1:15" ht="15" x14ac:dyDescent="0.25">
      <c r="A267">
        <v>265</v>
      </c>
      <c r="B267" s="7" t="s">
        <v>244</v>
      </c>
      <c r="C267" s="13" t="s">
        <v>1224</v>
      </c>
      <c r="D267" s="14" t="s">
        <v>119</v>
      </c>
      <c r="E267" s="15">
        <v>96</v>
      </c>
      <c r="F267" s="16">
        <v>10.8</v>
      </c>
      <c r="G267" s="17" t="s">
        <v>9</v>
      </c>
      <c r="H267" s="18">
        <v>1</v>
      </c>
      <c r="I267" s="19">
        <f>VLOOKUP(B267,[1]Лист2!$A:$J,10,0)</f>
        <v>3.94</v>
      </c>
      <c r="J267" s="19">
        <v>50</v>
      </c>
      <c r="K267" s="19">
        <f t="shared" si="4"/>
        <v>-46</v>
      </c>
      <c r="L267" s="18"/>
      <c r="M267" s="18"/>
      <c r="N267" s="18"/>
      <c r="O267" s="26" t="s">
        <v>1036</v>
      </c>
    </row>
    <row r="268" spans="1:15" ht="15" x14ac:dyDescent="0.25">
      <c r="A268">
        <v>266</v>
      </c>
      <c r="B268" s="8" t="s">
        <v>245</v>
      </c>
      <c r="C268" s="21" t="s">
        <v>1225</v>
      </c>
      <c r="D268" s="22" t="s">
        <v>119</v>
      </c>
      <c r="E268" s="15">
        <v>191</v>
      </c>
      <c r="F268" s="23">
        <v>6.72</v>
      </c>
      <c r="G268" s="24" t="s">
        <v>71</v>
      </c>
      <c r="H268" s="18">
        <v>14</v>
      </c>
      <c r="I268" s="19">
        <f>VLOOKUP(B268,[1]Лист2!$A:$J,10,0)</f>
        <v>7.88</v>
      </c>
      <c r="J268" s="29">
        <v>7.9588000000000001</v>
      </c>
      <c r="K268" s="19">
        <f t="shared" si="4"/>
        <v>-183.0412</v>
      </c>
      <c r="L268" s="18"/>
      <c r="M268" s="18"/>
      <c r="N268" s="18"/>
      <c r="O268" s="26" t="s">
        <v>1036</v>
      </c>
    </row>
    <row r="269" spans="1:15" ht="15" x14ac:dyDescent="0.25">
      <c r="A269">
        <v>267</v>
      </c>
      <c r="B269" s="7" t="s">
        <v>246</v>
      </c>
      <c r="C269" s="13" t="s">
        <v>1226</v>
      </c>
      <c r="D269" s="14" t="s">
        <v>165</v>
      </c>
      <c r="E269" s="16">
        <v>11</v>
      </c>
      <c r="F269" s="15">
        <v>29</v>
      </c>
      <c r="G269" s="17" t="s">
        <v>6</v>
      </c>
      <c r="H269" s="18">
        <v>14</v>
      </c>
      <c r="I269" s="19"/>
      <c r="J269" s="19">
        <v>27.84</v>
      </c>
      <c r="K269" s="19">
        <f t="shared" si="4"/>
        <v>16.84</v>
      </c>
      <c r="L269" s="18"/>
      <c r="M269" s="18"/>
      <c r="N269" s="18"/>
      <c r="O269" s="26" t="s">
        <v>1036</v>
      </c>
    </row>
    <row r="270" spans="1:15" ht="15" x14ac:dyDescent="0.25">
      <c r="A270">
        <v>268</v>
      </c>
      <c r="B270" s="8" t="s">
        <v>247</v>
      </c>
      <c r="C270" s="21" t="s">
        <v>1227</v>
      </c>
      <c r="D270" s="22" t="s">
        <v>8</v>
      </c>
      <c r="E270" s="23">
        <v>18</v>
      </c>
      <c r="F270" s="15">
        <v>24</v>
      </c>
      <c r="G270" s="24" t="s">
        <v>6</v>
      </c>
      <c r="H270" s="18">
        <v>1</v>
      </c>
      <c r="I270" s="19"/>
      <c r="J270" s="19">
        <v>23.04</v>
      </c>
      <c r="K270" s="19">
        <f t="shared" si="4"/>
        <v>5.0399999999999991</v>
      </c>
      <c r="L270" s="18"/>
      <c r="M270" s="18"/>
      <c r="N270" s="18"/>
      <c r="O270" s="26" t="s">
        <v>1036</v>
      </c>
    </row>
    <row r="271" spans="1:15" ht="15" x14ac:dyDescent="0.25">
      <c r="A271">
        <v>269</v>
      </c>
      <c r="B271" s="7" t="s">
        <v>247</v>
      </c>
      <c r="C271" s="13" t="s">
        <v>1227</v>
      </c>
      <c r="D271" s="14" t="s">
        <v>8</v>
      </c>
      <c r="E271" s="16">
        <v>18</v>
      </c>
      <c r="F271" s="15">
        <v>24</v>
      </c>
      <c r="G271" s="17" t="s">
        <v>6</v>
      </c>
      <c r="H271" s="18">
        <v>1</v>
      </c>
      <c r="I271" s="19"/>
      <c r="J271" s="19">
        <v>23.04</v>
      </c>
      <c r="K271" s="19">
        <f t="shared" si="4"/>
        <v>5.0399999999999991</v>
      </c>
      <c r="L271" s="18"/>
      <c r="M271" s="18"/>
      <c r="N271" s="18"/>
      <c r="O271" s="26" t="s">
        <v>1036</v>
      </c>
    </row>
    <row r="272" spans="1:15" ht="15" x14ac:dyDescent="0.25">
      <c r="A272">
        <v>270</v>
      </c>
      <c r="B272" s="8" t="s">
        <v>248</v>
      </c>
      <c r="C272" s="21" t="s">
        <v>1228</v>
      </c>
      <c r="D272" s="22" t="s">
        <v>16</v>
      </c>
      <c r="E272" s="15">
        <v>263</v>
      </c>
      <c r="F272" s="23">
        <v>191</v>
      </c>
      <c r="G272" s="24" t="s">
        <v>6</v>
      </c>
      <c r="H272" s="18">
        <v>2</v>
      </c>
      <c r="I272" s="19">
        <f>VLOOKUP(B272,[1]Лист2!$A:$J,10,0)</f>
        <v>223.595</v>
      </c>
      <c r="J272" s="29">
        <v>225.83095</v>
      </c>
      <c r="K272" s="19">
        <f t="shared" si="4"/>
        <v>-37.169049999999999</v>
      </c>
      <c r="L272" s="18"/>
      <c r="M272" s="18"/>
      <c r="N272" s="18"/>
      <c r="O272" s="26" t="s">
        <v>1036</v>
      </c>
    </row>
    <row r="273" spans="1:15" ht="15" x14ac:dyDescent="0.25">
      <c r="A273">
        <v>271</v>
      </c>
      <c r="B273" s="7" t="s">
        <v>249</v>
      </c>
      <c r="C273" s="13" t="s">
        <v>1169</v>
      </c>
      <c r="D273" s="14" t="s">
        <v>233</v>
      </c>
      <c r="E273" s="15">
        <v>242</v>
      </c>
      <c r="F273" s="16">
        <v>32.47</v>
      </c>
      <c r="G273" s="17" t="s">
        <v>71</v>
      </c>
      <c r="H273" s="18">
        <v>8</v>
      </c>
      <c r="I273" s="19">
        <f>VLOOKUP(B273,[1]Лист2!$A:$J,10,0)</f>
        <v>30.535</v>
      </c>
      <c r="J273" s="19">
        <v>75</v>
      </c>
      <c r="K273" s="19">
        <f t="shared" si="4"/>
        <v>-167</v>
      </c>
      <c r="L273" s="18"/>
      <c r="M273" s="18"/>
      <c r="N273" s="18"/>
      <c r="O273" s="26" t="s">
        <v>1036</v>
      </c>
    </row>
    <row r="274" spans="1:15" ht="15" x14ac:dyDescent="0.25">
      <c r="A274">
        <v>272</v>
      </c>
      <c r="B274" s="8" t="s">
        <v>250</v>
      </c>
      <c r="C274" s="21" t="s">
        <v>1229</v>
      </c>
      <c r="D274" s="22" t="s">
        <v>233</v>
      </c>
      <c r="E274" s="23">
        <v>700</v>
      </c>
      <c r="F274" s="15">
        <v>867</v>
      </c>
      <c r="G274" s="24" t="s">
        <v>6</v>
      </c>
      <c r="H274" s="18">
        <v>1</v>
      </c>
      <c r="I274" s="19"/>
      <c r="J274" s="19">
        <v>832.31999999999994</v>
      </c>
      <c r="K274" s="19">
        <f t="shared" si="4"/>
        <v>132.31999999999994</v>
      </c>
      <c r="L274" s="18"/>
      <c r="M274" s="18"/>
      <c r="N274" s="18"/>
      <c r="O274" s="26" t="s">
        <v>1036</v>
      </c>
    </row>
    <row r="275" spans="1:15" ht="15" x14ac:dyDescent="0.25">
      <c r="A275">
        <v>273</v>
      </c>
      <c r="B275" s="7" t="s">
        <v>251</v>
      </c>
      <c r="C275" s="13" t="s">
        <v>1230</v>
      </c>
      <c r="D275" s="14" t="s">
        <v>252</v>
      </c>
      <c r="E275" s="16">
        <v>999</v>
      </c>
      <c r="F275" s="15">
        <v>1013</v>
      </c>
      <c r="G275" s="17" t="s">
        <v>6</v>
      </c>
      <c r="H275" s="18">
        <v>1</v>
      </c>
      <c r="I275" s="19"/>
      <c r="J275" s="19">
        <v>1008.99</v>
      </c>
      <c r="K275" s="19">
        <f t="shared" si="4"/>
        <v>9.9900000000000091</v>
      </c>
      <c r="L275" s="18"/>
      <c r="M275" s="18"/>
      <c r="N275" s="18"/>
      <c r="O275" s="26" t="s">
        <v>1036</v>
      </c>
    </row>
    <row r="276" spans="1:15" ht="15" x14ac:dyDescent="0.25">
      <c r="A276">
        <v>274</v>
      </c>
      <c r="B276" s="8" t="s">
        <v>253</v>
      </c>
      <c r="C276" s="21" t="s">
        <v>1231</v>
      </c>
      <c r="D276" s="22" t="s">
        <v>252</v>
      </c>
      <c r="E276" s="23">
        <v>999</v>
      </c>
      <c r="F276" s="15">
        <v>1013</v>
      </c>
      <c r="G276" s="24" t="s">
        <v>6</v>
      </c>
      <c r="H276" s="18">
        <v>1</v>
      </c>
      <c r="I276" s="19"/>
      <c r="J276" s="19">
        <v>1008.99</v>
      </c>
      <c r="K276" s="19">
        <f t="shared" si="4"/>
        <v>9.9900000000000091</v>
      </c>
      <c r="L276" s="18"/>
      <c r="M276" s="18"/>
      <c r="N276" s="18"/>
      <c r="O276" s="26" t="s">
        <v>1036</v>
      </c>
    </row>
    <row r="277" spans="1:15" ht="15" x14ac:dyDescent="0.25">
      <c r="A277">
        <v>275</v>
      </c>
      <c r="B277" s="7" t="s">
        <v>254</v>
      </c>
      <c r="C277" s="13" t="s">
        <v>1232</v>
      </c>
      <c r="D277" s="14" t="s">
        <v>255</v>
      </c>
      <c r="E277" s="16">
        <v>262</v>
      </c>
      <c r="F277" s="15">
        <v>331</v>
      </c>
      <c r="G277" s="17" t="s">
        <v>6</v>
      </c>
      <c r="H277" s="18">
        <v>3</v>
      </c>
      <c r="I277" s="19">
        <f>VLOOKUP(B277,[1]Лист2!$A:$J,10,0)</f>
        <v>212.76</v>
      </c>
      <c r="J277" s="19">
        <v>317.76</v>
      </c>
      <c r="K277" s="19">
        <f t="shared" si="4"/>
        <v>55.759999999999991</v>
      </c>
      <c r="L277" s="18"/>
      <c r="M277" s="18"/>
      <c r="N277" s="18"/>
      <c r="O277" s="26" t="s">
        <v>1036</v>
      </c>
    </row>
    <row r="278" spans="1:15" ht="15" x14ac:dyDescent="0.25">
      <c r="A278">
        <v>276</v>
      </c>
      <c r="B278" s="8" t="s">
        <v>256</v>
      </c>
      <c r="C278" s="21" t="s">
        <v>1233</v>
      </c>
      <c r="D278" s="22" t="s">
        <v>8</v>
      </c>
      <c r="E278" s="15">
        <v>70</v>
      </c>
      <c r="F278" s="23">
        <v>68</v>
      </c>
      <c r="G278" s="24" t="s">
        <v>6</v>
      </c>
      <c r="H278" s="18">
        <v>5</v>
      </c>
      <c r="I278" s="19">
        <f>VLOOKUP(B278,[1]Лист2!$A:$J,10,0)</f>
        <v>36.445</v>
      </c>
      <c r="J278" s="19">
        <v>65.28</v>
      </c>
      <c r="K278" s="19">
        <f t="shared" si="4"/>
        <v>-4.7199999999999989</v>
      </c>
      <c r="L278" s="18"/>
      <c r="M278" s="18"/>
      <c r="N278" s="18"/>
      <c r="O278" s="26" t="s">
        <v>1036</v>
      </c>
    </row>
    <row r="279" spans="1:15" ht="15" x14ac:dyDescent="0.25">
      <c r="A279">
        <v>277</v>
      </c>
      <c r="B279" s="7" t="s">
        <v>257</v>
      </c>
      <c r="C279" s="13" t="s">
        <v>1234</v>
      </c>
      <c r="D279" s="14" t="s">
        <v>8</v>
      </c>
      <c r="E279" s="15">
        <v>3825</v>
      </c>
      <c r="F279" s="16">
        <v>3000</v>
      </c>
      <c r="G279" s="17" t="s">
        <v>6</v>
      </c>
      <c r="H279" s="18">
        <v>1</v>
      </c>
      <c r="I279" s="19"/>
      <c r="J279" s="19">
        <v>3863.25</v>
      </c>
      <c r="K279" s="19">
        <f t="shared" si="4"/>
        <v>38.25</v>
      </c>
      <c r="L279" s="18"/>
      <c r="M279" s="18"/>
      <c r="N279" s="18"/>
      <c r="O279" s="26" t="s">
        <v>1036</v>
      </c>
    </row>
    <row r="280" spans="1:15" ht="15" x14ac:dyDescent="0.25">
      <c r="A280">
        <v>278</v>
      </c>
      <c r="B280" s="8" t="s">
        <v>258</v>
      </c>
      <c r="C280" s="21" t="s">
        <v>1235</v>
      </c>
      <c r="D280" s="22" t="s">
        <v>111</v>
      </c>
      <c r="E280" s="15">
        <v>34885</v>
      </c>
      <c r="F280" s="23">
        <v>34293</v>
      </c>
      <c r="G280" s="24" t="s">
        <v>6</v>
      </c>
      <c r="H280" s="18">
        <v>2</v>
      </c>
      <c r="I280" s="19"/>
      <c r="J280" s="19">
        <v>35233.85</v>
      </c>
      <c r="K280" s="19">
        <f t="shared" si="4"/>
        <v>348.84999999999854</v>
      </c>
      <c r="L280" s="18"/>
      <c r="M280" s="18"/>
      <c r="N280" s="18"/>
      <c r="O280" s="26" t="s">
        <v>1036</v>
      </c>
    </row>
    <row r="281" spans="1:15" ht="15" x14ac:dyDescent="0.25">
      <c r="A281">
        <v>279</v>
      </c>
      <c r="B281" s="7" t="s">
        <v>259</v>
      </c>
      <c r="C281" s="13" t="s">
        <v>1236</v>
      </c>
      <c r="D281" s="14" t="s">
        <v>50</v>
      </c>
      <c r="E281" s="16">
        <v>1186</v>
      </c>
      <c r="F281" s="15">
        <v>1451.84</v>
      </c>
      <c r="G281" s="17" t="s">
        <v>78</v>
      </c>
      <c r="H281" s="18">
        <v>1</v>
      </c>
      <c r="I281" s="19"/>
      <c r="J281" s="19">
        <v>1393.7664</v>
      </c>
      <c r="K281" s="19">
        <f t="shared" si="4"/>
        <v>207.76639999999998</v>
      </c>
      <c r="L281" s="18"/>
      <c r="M281" s="18"/>
      <c r="N281" s="18"/>
      <c r="O281" s="26" t="s">
        <v>1036</v>
      </c>
    </row>
    <row r="282" spans="1:15" ht="15" x14ac:dyDescent="0.25">
      <c r="A282">
        <v>280</v>
      </c>
      <c r="B282" s="8" t="s">
        <v>260</v>
      </c>
      <c r="C282" s="21" t="s">
        <v>1237</v>
      </c>
      <c r="D282" s="22" t="s">
        <v>261</v>
      </c>
      <c r="E282" s="15">
        <v>13366</v>
      </c>
      <c r="F282" s="23">
        <v>11424</v>
      </c>
      <c r="G282" s="24" t="s">
        <v>6</v>
      </c>
      <c r="H282" s="18">
        <v>1</v>
      </c>
      <c r="I282" s="19"/>
      <c r="J282" s="19">
        <v>13499.66</v>
      </c>
      <c r="K282" s="19">
        <f t="shared" si="4"/>
        <v>133.65999999999985</v>
      </c>
      <c r="L282" s="18"/>
      <c r="M282" s="18"/>
      <c r="N282" s="18"/>
      <c r="O282" s="26" t="s">
        <v>1036</v>
      </c>
    </row>
    <row r="283" spans="1:15" ht="15" x14ac:dyDescent="0.25">
      <c r="A283">
        <v>281</v>
      </c>
      <c r="B283" s="7" t="s">
        <v>262</v>
      </c>
      <c r="C283" s="13" t="s">
        <v>1238</v>
      </c>
      <c r="D283" s="14" t="s">
        <v>263</v>
      </c>
      <c r="E283" s="16">
        <v>53712</v>
      </c>
      <c r="F283" s="15">
        <v>62831</v>
      </c>
      <c r="G283" s="17" t="s">
        <v>6</v>
      </c>
      <c r="H283" s="18">
        <v>1</v>
      </c>
      <c r="I283" s="19"/>
      <c r="J283" s="19">
        <v>57950</v>
      </c>
      <c r="K283" s="19">
        <f t="shared" si="4"/>
        <v>4238</v>
      </c>
      <c r="L283" s="18"/>
      <c r="M283" s="18"/>
      <c r="N283" s="18"/>
      <c r="O283" s="26" t="s">
        <v>1036</v>
      </c>
    </row>
    <row r="284" spans="1:15" ht="15" x14ac:dyDescent="0.25">
      <c r="A284">
        <v>282</v>
      </c>
      <c r="B284" s="8" t="s">
        <v>264</v>
      </c>
      <c r="C284" s="21" t="s">
        <v>1050</v>
      </c>
      <c r="D284" s="22" t="s">
        <v>8</v>
      </c>
      <c r="E284" s="23">
        <v>49441</v>
      </c>
      <c r="F284" s="15">
        <v>66104.58</v>
      </c>
      <c r="G284" s="24" t="s">
        <v>9</v>
      </c>
      <c r="H284" s="18">
        <v>3</v>
      </c>
      <c r="I284" s="19"/>
      <c r="J284" s="19">
        <v>59500</v>
      </c>
      <c r="K284" s="19">
        <f t="shared" si="4"/>
        <v>10059</v>
      </c>
      <c r="L284" s="18"/>
      <c r="M284" s="18"/>
      <c r="N284" s="18"/>
      <c r="O284" s="26" t="s">
        <v>1036</v>
      </c>
    </row>
    <row r="285" spans="1:15" ht="15" x14ac:dyDescent="0.25">
      <c r="A285">
        <v>283</v>
      </c>
      <c r="B285" s="7" t="s">
        <v>265</v>
      </c>
      <c r="C285" s="13" t="s">
        <v>1239</v>
      </c>
      <c r="D285" s="14" t="s">
        <v>8</v>
      </c>
      <c r="E285" s="16">
        <v>46804</v>
      </c>
      <c r="F285" s="15">
        <v>54891</v>
      </c>
      <c r="G285" s="17" t="s">
        <v>6</v>
      </c>
      <c r="H285" s="18">
        <v>1</v>
      </c>
      <c r="I285" s="19"/>
      <c r="J285" s="19">
        <v>48950</v>
      </c>
      <c r="K285" s="19">
        <f t="shared" si="4"/>
        <v>2146</v>
      </c>
      <c r="L285" s="18"/>
      <c r="M285" s="18"/>
      <c r="N285" s="18"/>
      <c r="O285" s="26" t="s">
        <v>1036</v>
      </c>
    </row>
    <row r="286" spans="1:15" ht="15" x14ac:dyDescent="0.25">
      <c r="A286">
        <v>284</v>
      </c>
      <c r="B286" s="8" t="s">
        <v>266</v>
      </c>
      <c r="C286" s="21" t="s">
        <v>1240</v>
      </c>
      <c r="D286" s="22" t="s">
        <v>267</v>
      </c>
      <c r="E286" s="23">
        <v>3836</v>
      </c>
      <c r="F286" s="15">
        <v>4427</v>
      </c>
      <c r="G286" s="24" t="s">
        <v>136</v>
      </c>
      <c r="H286" s="18">
        <v>1</v>
      </c>
      <c r="I286" s="19"/>
      <c r="J286" s="19">
        <v>4249.92</v>
      </c>
      <c r="K286" s="19">
        <f t="shared" si="4"/>
        <v>413.92000000000007</v>
      </c>
      <c r="L286" s="18"/>
      <c r="M286" s="18"/>
      <c r="N286" s="18"/>
      <c r="O286" s="26" t="s">
        <v>1036</v>
      </c>
    </row>
    <row r="287" spans="1:15" ht="15" x14ac:dyDescent="0.25">
      <c r="A287">
        <v>285</v>
      </c>
      <c r="B287" s="7" t="s">
        <v>268</v>
      </c>
      <c r="C287" s="13" t="s">
        <v>1241</v>
      </c>
      <c r="D287" s="14" t="s">
        <v>54</v>
      </c>
      <c r="E287" s="16">
        <v>47028</v>
      </c>
      <c r="F287" s="15">
        <v>54211.87</v>
      </c>
      <c r="G287" s="17" t="s">
        <v>78</v>
      </c>
      <c r="H287" s="18">
        <v>1</v>
      </c>
      <c r="I287" s="19"/>
      <c r="J287" s="19">
        <v>52043.395199999999</v>
      </c>
      <c r="K287" s="19">
        <f t="shared" si="4"/>
        <v>5015.395199999999</v>
      </c>
      <c r="L287" s="18"/>
      <c r="M287" s="18"/>
      <c r="N287" s="18"/>
      <c r="O287" s="26" t="s">
        <v>1036</v>
      </c>
    </row>
    <row r="288" spans="1:15" ht="15" x14ac:dyDescent="0.25">
      <c r="A288">
        <v>286</v>
      </c>
      <c r="B288" s="8" t="s">
        <v>269</v>
      </c>
      <c r="C288" s="21" t="s">
        <v>1242</v>
      </c>
      <c r="D288" s="22" t="s">
        <v>18</v>
      </c>
      <c r="E288" s="23">
        <v>125691</v>
      </c>
      <c r="F288" s="15">
        <v>129585</v>
      </c>
      <c r="G288" s="24" t="s">
        <v>6</v>
      </c>
      <c r="H288" s="18">
        <v>1</v>
      </c>
      <c r="I288" s="19"/>
      <c r="J288" s="19">
        <v>126947.91</v>
      </c>
      <c r="K288" s="19">
        <f t="shared" si="4"/>
        <v>1256.9100000000035</v>
      </c>
      <c r="L288" s="18"/>
      <c r="M288" s="18"/>
      <c r="N288" s="18"/>
      <c r="O288" s="26" t="s">
        <v>1036</v>
      </c>
    </row>
    <row r="289" spans="1:15" ht="15" x14ac:dyDescent="0.25">
      <c r="A289">
        <v>287</v>
      </c>
      <c r="B289" s="7" t="s">
        <v>270</v>
      </c>
      <c r="C289" s="13" t="s">
        <v>1243</v>
      </c>
      <c r="D289" s="14" t="s">
        <v>18</v>
      </c>
      <c r="E289" s="16">
        <v>2623</v>
      </c>
      <c r="F289" s="15">
        <v>3868</v>
      </c>
      <c r="G289" s="17" t="s">
        <v>6</v>
      </c>
      <c r="H289" s="18">
        <v>1</v>
      </c>
      <c r="I289" s="19"/>
      <c r="J289" s="19">
        <v>3713.2799999999997</v>
      </c>
      <c r="K289" s="19">
        <f t="shared" si="4"/>
        <v>1090.2799999999997</v>
      </c>
      <c r="L289" s="18"/>
      <c r="M289" s="18"/>
      <c r="N289" s="18"/>
      <c r="O289" s="26" t="s">
        <v>1036</v>
      </c>
    </row>
    <row r="290" spans="1:15" ht="15" x14ac:dyDescent="0.25">
      <c r="A290">
        <v>288</v>
      </c>
      <c r="B290" s="8" t="s">
        <v>271</v>
      </c>
      <c r="C290" s="21" t="s">
        <v>1244</v>
      </c>
      <c r="D290" s="22" t="s">
        <v>18</v>
      </c>
      <c r="E290" s="23">
        <v>21842</v>
      </c>
      <c r="F290" s="15">
        <v>26785</v>
      </c>
      <c r="G290" s="24" t="s">
        <v>6</v>
      </c>
      <c r="H290" s="18">
        <v>1</v>
      </c>
      <c r="I290" s="19">
        <f>VLOOKUP(B290,[1]Лист2!$A:$J,10,0)</f>
        <v>12028.82</v>
      </c>
      <c r="J290" s="19">
        <v>23560</v>
      </c>
      <c r="K290" s="19">
        <f t="shared" si="4"/>
        <v>1718</v>
      </c>
      <c r="L290" s="18"/>
      <c r="M290" s="18"/>
      <c r="N290" s="18"/>
      <c r="O290" s="26" t="s">
        <v>1036</v>
      </c>
    </row>
    <row r="291" spans="1:15" ht="15" x14ac:dyDescent="0.25">
      <c r="A291">
        <v>289</v>
      </c>
      <c r="B291" s="7" t="s">
        <v>272</v>
      </c>
      <c r="C291" s="13" t="s">
        <v>1245</v>
      </c>
      <c r="D291" s="14" t="s">
        <v>273</v>
      </c>
      <c r="E291" s="16">
        <v>19014</v>
      </c>
      <c r="F291" s="15">
        <v>23318</v>
      </c>
      <c r="G291" s="17" t="s">
        <v>6</v>
      </c>
      <c r="H291" s="18">
        <v>1</v>
      </c>
      <c r="I291" s="19"/>
      <c r="J291" s="19">
        <v>21385.279999999999</v>
      </c>
      <c r="K291" s="19">
        <f t="shared" si="4"/>
        <v>2371.2799999999988</v>
      </c>
      <c r="L291" s="18"/>
      <c r="M291" s="18"/>
      <c r="N291" s="18"/>
      <c r="O291" s="26" t="s">
        <v>1036</v>
      </c>
    </row>
    <row r="292" spans="1:15" ht="15" x14ac:dyDescent="0.25">
      <c r="A292">
        <v>290</v>
      </c>
      <c r="B292" s="8" t="s">
        <v>274</v>
      </c>
      <c r="C292" s="21" t="s">
        <v>1045</v>
      </c>
      <c r="D292" s="22" t="s">
        <v>275</v>
      </c>
      <c r="E292" s="15">
        <v>63732</v>
      </c>
      <c r="F292" s="23">
        <v>20953</v>
      </c>
      <c r="G292" s="24" t="s">
        <v>6</v>
      </c>
      <c r="H292" s="18">
        <v>1</v>
      </c>
      <c r="I292" s="19">
        <f>VLOOKUP(B292,[1]Лист2!$A:$J,10,0)</f>
        <v>30842.32</v>
      </c>
      <c r="J292" s="29">
        <v>31150.743200000001</v>
      </c>
      <c r="K292" s="19">
        <f t="shared" si="4"/>
        <v>-32581.256799999999</v>
      </c>
      <c r="L292" s="18"/>
      <c r="M292" s="18"/>
      <c r="N292" s="18"/>
      <c r="O292" s="26" t="s">
        <v>1036</v>
      </c>
    </row>
    <row r="293" spans="1:15" ht="15" x14ac:dyDescent="0.25">
      <c r="A293">
        <v>291</v>
      </c>
      <c r="B293" s="7" t="s">
        <v>276</v>
      </c>
      <c r="C293" s="13" t="s">
        <v>1246</v>
      </c>
      <c r="D293" s="14" t="s">
        <v>5</v>
      </c>
      <c r="E293" s="15">
        <v>8032</v>
      </c>
      <c r="F293" s="16">
        <v>5407</v>
      </c>
      <c r="G293" s="17" t="s">
        <v>6</v>
      </c>
      <c r="H293" s="18">
        <v>1</v>
      </c>
      <c r="I293" s="19"/>
      <c r="J293" s="19">
        <v>8112.32</v>
      </c>
      <c r="K293" s="19">
        <f t="shared" si="4"/>
        <v>80.319999999999709</v>
      </c>
      <c r="L293" s="18"/>
      <c r="M293" s="18"/>
      <c r="N293" s="18"/>
      <c r="O293" s="26" t="s">
        <v>1036</v>
      </c>
    </row>
    <row r="294" spans="1:15" ht="15" x14ac:dyDescent="0.25">
      <c r="A294">
        <v>292</v>
      </c>
      <c r="B294" s="8" t="s">
        <v>277</v>
      </c>
      <c r="C294" s="21" t="s">
        <v>1247</v>
      </c>
      <c r="D294" s="22" t="s">
        <v>267</v>
      </c>
      <c r="E294" s="15">
        <v>2626</v>
      </c>
      <c r="F294" s="23">
        <v>1294.98</v>
      </c>
      <c r="G294" s="24" t="s">
        <v>9</v>
      </c>
      <c r="H294" s="18">
        <v>1</v>
      </c>
      <c r="I294" s="19"/>
      <c r="J294" s="19">
        <v>2652.26</v>
      </c>
      <c r="K294" s="19">
        <f t="shared" si="4"/>
        <v>26.260000000000218</v>
      </c>
      <c r="L294" s="18"/>
      <c r="M294" s="18"/>
      <c r="N294" s="18"/>
      <c r="O294" s="26" t="s">
        <v>1036</v>
      </c>
    </row>
    <row r="295" spans="1:15" ht="15" x14ac:dyDescent="0.25">
      <c r="A295">
        <v>293</v>
      </c>
      <c r="B295" s="7" t="s">
        <v>278</v>
      </c>
      <c r="C295" s="13" t="s">
        <v>1248</v>
      </c>
      <c r="D295" s="14" t="s">
        <v>8</v>
      </c>
      <c r="E295" s="16">
        <v>56104</v>
      </c>
      <c r="F295" s="15">
        <v>59257</v>
      </c>
      <c r="G295" s="17" t="s">
        <v>6</v>
      </c>
      <c r="H295" s="18">
        <v>1</v>
      </c>
      <c r="I295" s="19"/>
      <c r="J295" s="19">
        <v>56886.720000000001</v>
      </c>
      <c r="K295" s="19">
        <f t="shared" si="4"/>
        <v>782.72000000000116</v>
      </c>
      <c r="L295" s="18"/>
      <c r="M295" s="18"/>
      <c r="N295" s="18"/>
      <c r="O295" s="26" t="s">
        <v>1036</v>
      </c>
    </row>
    <row r="296" spans="1:15" ht="15" x14ac:dyDescent="0.25">
      <c r="A296">
        <v>294</v>
      </c>
      <c r="B296" s="8" t="s">
        <v>279</v>
      </c>
      <c r="C296" s="21" t="s">
        <v>1249</v>
      </c>
      <c r="D296" s="22" t="s">
        <v>8</v>
      </c>
      <c r="E296" s="15">
        <v>47785</v>
      </c>
      <c r="F296" s="23">
        <v>14648</v>
      </c>
      <c r="G296" s="24" t="s">
        <v>6</v>
      </c>
      <c r="H296" s="18">
        <v>1</v>
      </c>
      <c r="I296" s="19"/>
      <c r="J296" s="19">
        <v>48262.85</v>
      </c>
      <c r="K296" s="19">
        <f t="shared" si="4"/>
        <v>477.84999999999854</v>
      </c>
      <c r="L296" s="18"/>
      <c r="M296" s="18"/>
      <c r="N296" s="18"/>
      <c r="O296" s="26" t="s">
        <v>1036</v>
      </c>
    </row>
    <row r="297" spans="1:15" ht="15" x14ac:dyDescent="0.25">
      <c r="A297">
        <v>295</v>
      </c>
      <c r="B297" s="7" t="s">
        <v>280</v>
      </c>
      <c r="C297" s="13" t="s">
        <v>1250</v>
      </c>
      <c r="D297" s="14" t="s">
        <v>8</v>
      </c>
      <c r="E297" s="16">
        <v>32000</v>
      </c>
      <c r="F297" s="15">
        <v>37532</v>
      </c>
      <c r="G297" s="17" t="s">
        <v>6</v>
      </c>
      <c r="H297" s="18">
        <v>1</v>
      </c>
      <c r="I297" s="19"/>
      <c r="J297" s="19">
        <v>33900</v>
      </c>
      <c r="K297" s="19">
        <f t="shared" si="4"/>
        <v>1900</v>
      </c>
      <c r="L297" s="18"/>
      <c r="M297" s="18"/>
      <c r="N297" s="18"/>
      <c r="O297" s="26" t="s">
        <v>1036</v>
      </c>
    </row>
    <row r="298" spans="1:15" ht="15" x14ac:dyDescent="0.25">
      <c r="A298">
        <v>296</v>
      </c>
      <c r="B298" s="8" t="s">
        <v>281</v>
      </c>
      <c r="C298" s="21" t="s">
        <v>1251</v>
      </c>
      <c r="D298" s="22" t="s">
        <v>24</v>
      </c>
      <c r="E298" s="23">
        <v>8289</v>
      </c>
      <c r="F298" s="15">
        <v>8764</v>
      </c>
      <c r="G298" s="24" t="s">
        <v>6</v>
      </c>
      <c r="H298" s="18">
        <v>1</v>
      </c>
      <c r="I298" s="19"/>
      <c r="J298" s="19">
        <v>8413.44</v>
      </c>
      <c r="K298" s="19">
        <f t="shared" si="4"/>
        <v>124.44000000000051</v>
      </c>
      <c r="L298" s="18"/>
      <c r="M298" s="18"/>
      <c r="N298" s="18"/>
      <c r="O298" s="26" t="s">
        <v>1036</v>
      </c>
    </row>
    <row r="299" spans="1:15" ht="15" x14ac:dyDescent="0.25">
      <c r="A299">
        <v>297</v>
      </c>
      <c r="B299" s="7" t="s">
        <v>282</v>
      </c>
      <c r="C299" s="13" t="s">
        <v>1252</v>
      </c>
      <c r="D299" s="14" t="s">
        <v>24</v>
      </c>
      <c r="E299" s="16">
        <v>7952</v>
      </c>
      <c r="F299" s="15">
        <v>8311</v>
      </c>
      <c r="G299" s="17" t="s">
        <v>6</v>
      </c>
      <c r="H299" s="18">
        <v>2</v>
      </c>
      <c r="I299" s="19"/>
      <c r="J299" s="19">
        <v>7978.5599999999995</v>
      </c>
      <c r="K299" s="19">
        <f t="shared" si="4"/>
        <v>26.559999999999491</v>
      </c>
      <c r="L299" s="18"/>
      <c r="M299" s="18"/>
      <c r="N299" s="18"/>
      <c r="O299" s="26" t="s">
        <v>1036</v>
      </c>
    </row>
    <row r="300" spans="1:15" ht="15" x14ac:dyDescent="0.25">
      <c r="A300">
        <v>298</v>
      </c>
      <c r="B300" s="8" t="s">
        <v>283</v>
      </c>
      <c r="C300" s="21" t="s">
        <v>1253</v>
      </c>
      <c r="D300" s="22" t="s">
        <v>275</v>
      </c>
      <c r="E300" s="23">
        <v>30007</v>
      </c>
      <c r="F300" s="15">
        <v>30255</v>
      </c>
      <c r="G300" s="24" t="s">
        <v>6</v>
      </c>
      <c r="H300" s="18">
        <v>1</v>
      </c>
      <c r="I300" s="19"/>
      <c r="J300" s="19">
        <v>30307.07</v>
      </c>
      <c r="K300" s="19">
        <f t="shared" si="4"/>
        <v>300.06999999999971</v>
      </c>
      <c r="L300" s="18"/>
      <c r="M300" s="18"/>
      <c r="N300" s="18"/>
      <c r="O300" s="26" t="s">
        <v>1036</v>
      </c>
    </row>
    <row r="301" spans="1:15" ht="15" x14ac:dyDescent="0.25">
      <c r="A301">
        <v>299</v>
      </c>
      <c r="B301" s="7" t="s">
        <v>284</v>
      </c>
      <c r="C301" s="13" t="s">
        <v>1254</v>
      </c>
      <c r="D301" s="14" t="s">
        <v>20</v>
      </c>
      <c r="E301" s="15">
        <v>10140</v>
      </c>
      <c r="F301" s="16">
        <v>7455</v>
      </c>
      <c r="G301" s="17" t="s">
        <v>6</v>
      </c>
      <c r="H301" s="18">
        <v>1</v>
      </c>
      <c r="I301" s="19"/>
      <c r="J301" s="19">
        <v>10241.4</v>
      </c>
      <c r="K301" s="19">
        <f t="shared" si="4"/>
        <v>101.39999999999964</v>
      </c>
      <c r="L301" s="18"/>
      <c r="M301" s="18"/>
      <c r="N301" s="18"/>
      <c r="O301" s="26" t="s">
        <v>1036</v>
      </c>
    </row>
    <row r="302" spans="1:15" ht="15" x14ac:dyDescent="0.25">
      <c r="A302">
        <v>300</v>
      </c>
      <c r="B302" s="8" t="s">
        <v>285</v>
      </c>
      <c r="C302" s="21" t="s">
        <v>1255</v>
      </c>
      <c r="D302" s="22" t="s">
        <v>24</v>
      </c>
      <c r="E302" s="23">
        <v>4951</v>
      </c>
      <c r="F302" s="15">
        <v>5974.45</v>
      </c>
      <c r="G302" s="24" t="s">
        <v>78</v>
      </c>
      <c r="H302" s="18">
        <v>1</v>
      </c>
      <c r="I302" s="19"/>
      <c r="J302" s="19">
        <v>5735.4719999999998</v>
      </c>
      <c r="K302" s="19">
        <f t="shared" si="4"/>
        <v>784.47199999999975</v>
      </c>
      <c r="L302" s="18"/>
      <c r="M302" s="18"/>
      <c r="N302" s="18"/>
      <c r="O302" s="26" t="s">
        <v>1036</v>
      </c>
    </row>
    <row r="303" spans="1:15" ht="15" x14ac:dyDescent="0.25">
      <c r="A303">
        <v>301</v>
      </c>
      <c r="B303" s="7" t="s">
        <v>286</v>
      </c>
      <c r="C303" s="13" t="s">
        <v>1256</v>
      </c>
      <c r="D303" s="14" t="s">
        <v>18</v>
      </c>
      <c r="E303" s="16">
        <v>246529</v>
      </c>
      <c r="F303" s="15">
        <v>249097</v>
      </c>
      <c r="G303" s="17" t="s">
        <v>6</v>
      </c>
      <c r="H303" s="18">
        <v>1</v>
      </c>
      <c r="I303" s="19"/>
      <c r="J303" s="19">
        <v>248994.29</v>
      </c>
      <c r="K303" s="19">
        <f t="shared" si="4"/>
        <v>2465.2900000000081</v>
      </c>
      <c r="L303" s="18"/>
      <c r="M303" s="18"/>
      <c r="N303" s="18"/>
      <c r="O303" s="26" t="s">
        <v>1036</v>
      </c>
    </row>
    <row r="304" spans="1:15" ht="15" x14ac:dyDescent="0.25">
      <c r="A304">
        <v>302</v>
      </c>
      <c r="B304" s="8" t="s">
        <v>287</v>
      </c>
      <c r="C304" s="21" t="s">
        <v>1257</v>
      </c>
      <c r="D304" s="22" t="s">
        <v>37</v>
      </c>
      <c r="E304" s="23">
        <v>9800</v>
      </c>
      <c r="F304" s="15">
        <v>11790.72</v>
      </c>
      <c r="G304" s="24" t="s">
        <v>78</v>
      </c>
      <c r="H304" s="18">
        <v>1</v>
      </c>
      <c r="I304" s="19">
        <f>VLOOKUP(B304,[1]Лист2!$A:$J,10,0)</f>
        <v>7902.6549999999997</v>
      </c>
      <c r="J304" s="19">
        <v>11319.091199999999</v>
      </c>
      <c r="K304" s="19">
        <f t="shared" si="4"/>
        <v>1519.0911999999989</v>
      </c>
      <c r="L304" s="18"/>
      <c r="M304" s="18"/>
      <c r="N304" s="18"/>
      <c r="O304" s="26" t="s">
        <v>1036</v>
      </c>
    </row>
    <row r="305" spans="1:15" ht="15" x14ac:dyDescent="0.25">
      <c r="A305">
        <v>303</v>
      </c>
      <c r="B305" s="7" t="s">
        <v>288</v>
      </c>
      <c r="C305" s="13" t="s">
        <v>1258</v>
      </c>
      <c r="D305" s="14" t="s">
        <v>8</v>
      </c>
      <c r="E305" s="15">
        <v>4913</v>
      </c>
      <c r="F305" s="16">
        <v>1297</v>
      </c>
      <c r="G305" s="17" t="s">
        <v>6</v>
      </c>
      <c r="H305" s="18">
        <v>1</v>
      </c>
      <c r="I305" s="19"/>
      <c r="J305" s="19">
        <v>4962.13</v>
      </c>
      <c r="K305" s="19">
        <f t="shared" si="4"/>
        <v>49.130000000000109</v>
      </c>
      <c r="L305" s="18"/>
      <c r="M305" s="18"/>
      <c r="N305" s="18"/>
      <c r="O305" s="26" t="s">
        <v>1036</v>
      </c>
    </row>
    <row r="306" spans="1:15" ht="15" x14ac:dyDescent="0.25">
      <c r="A306">
        <v>304</v>
      </c>
      <c r="B306" s="8" t="s">
        <v>289</v>
      </c>
      <c r="C306" s="21" t="s">
        <v>1259</v>
      </c>
      <c r="D306" s="22" t="s">
        <v>54</v>
      </c>
      <c r="E306" s="15">
        <v>6364</v>
      </c>
      <c r="F306" s="23">
        <v>2330</v>
      </c>
      <c r="G306" s="24" t="s">
        <v>6</v>
      </c>
      <c r="H306" s="18">
        <v>1</v>
      </c>
      <c r="I306" s="19">
        <f>VLOOKUP(B306,[1]Лист2!$A:$J,10,0)</f>
        <v>1038.19</v>
      </c>
      <c r="J306" s="19">
        <v>2236.7999999999997</v>
      </c>
      <c r="K306" s="19">
        <f t="shared" si="4"/>
        <v>-4127.2000000000007</v>
      </c>
      <c r="L306" s="18"/>
      <c r="M306" s="18"/>
      <c r="N306" s="18"/>
      <c r="O306" s="26" t="s">
        <v>1036</v>
      </c>
    </row>
    <row r="307" spans="1:15" ht="15" x14ac:dyDescent="0.25">
      <c r="A307">
        <v>305</v>
      </c>
      <c r="B307" s="7" t="s">
        <v>290</v>
      </c>
      <c r="C307" s="13" t="s">
        <v>1260</v>
      </c>
      <c r="D307" s="14" t="s">
        <v>5</v>
      </c>
      <c r="E307" s="15">
        <v>2480</v>
      </c>
      <c r="F307" s="16">
        <v>1631</v>
      </c>
      <c r="G307" s="17" t="s">
        <v>6</v>
      </c>
      <c r="H307" s="18">
        <v>1</v>
      </c>
      <c r="I307" s="19"/>
      <c r="J307" s="19">
        <v>2504.8000000000002</v>
      </c>
      <c r="K307" s="19">
        <f t="shared" si="4"/>
        <v>24.800000000000182</v>
      </c>
      <c r="L307" s="18"/>
      <c r="M307" s="18"/>
      <c r="N307" s="18"/>
      <c r="O307" s="26" t="s">
        <v>1036</v>
      </c>
    </row>
    <row r="308" spans="1:15" ht="15" x14ac:dyDescent="0.25">
      <c r="A308">
        <v>306</v>
      </c>
      <c r="B308" s="8" t="s">
        <v>291</v>
      </c>
      <c r="C308" s="21" t="s">
        <v>1261</v>
      </c>
      <c r="D308" s="22" t="s">
        <v>5</v>
      </c>
      <c r="E308" s="23">
        <v>4161</v>
      </c>
      <c r="F308" s="15">
        <v>4703</v>
      </c>
      <c r="G308" s="24" t="s">
        <v>6</v>
      </c>
      <c r="H308" s="18">
        <v>1</v>
      </c>
      <c r="I308" s="19"/>
      <c r="J308" s="19">
        <v>4514.88</v>
      </c>
      <c r="K308" s="19">
        <f t="shared" si="4"/>
        <v>353.88000000000011</v>
      </c>
      <c r="L308" s="18"/>
      <c r="M308" s="18"/>
      <c r="N308" s="18"/>
      <c r="O308" s="26" t="s">
        <v>1036</v>
      </c>
    </row>
    <row r="309" spans="1:15" ht="15" x14ac:dyDescent="0.25">
      <c r="A309">
        <v>307</v>
      </c>
      <c r="B309" s="7" t="s">
        <v>292</v>
      </c>
      <c r="C309" s="13" t="s">
        <v>1262</v>
      </c>
      <c r="D309" s="14" t="s">
        <v>5</v>
      </c>
      <c r="E309" s="16">
        <v>3031</v>
      </c>
      <c r="F309" s="15">
        <v>3088</v>
      </c>
      <c r="G309" s="17" t="s">
        <v>6</v>
      </c>
      <c r="H309" s="18">
        <v>1</v>
      </c>
      <c r="I309" s="19">
        <f>VLOOKUP(B309,[1]Лист2!$A:$J,10,0)</f>
        <v>2114.7950000000001</v>
      </c>
      <c r="J309" s="19">
        <v>2964.48</v>
      </c>
      <c r="K309" s="19">
        <f t="shared" si="4"/>
        <v>-66.519999999999982</v>
      </c>
      <c r="L309" s="18"/>
      <c r="M309" s="18"/>
      <c r="N309" s="18"/>
      <c r="O309" s="26" t="s">
        <v>1036</v>
      </c>
    </row>
    <row r="310" spans="1:15" ht="15" x14ac:dyDescent="0.25">
      <c r="A310">
        <v>308</v>
      </c>
      <c r="B310" s="8" t="s">
        <v>292</v>
      </c>
      <c r="C310" s="21" t="s">
        <v>1262</v>
      </c>
      <c r="D310" s="22" t="s">
        <v>5</v>
      </c>
      <c r="E310" s="23">
        <v>3031</v>
      </c>
      <c r="F310" s="15">
        <v>3088</v>
      </c>
      <c r="G310" s="24" t="s">
        <v>6</v>
      </c>
      <c r="H310" s="18">
        <v>2</v>
      </c>
      <c r="I310" s="19">
        <f>VLOOKUP(B310,[1]Лист2!$A:$J,10,0)</f>
        <v>2114.7950000000001</v>
      </c>
      <c r="J310" s="19">
        <v>2964.48</v>
      </c>
      <c r="K310" s="19">
        <f t="shared" si="4"/>
        <v>-66.519999999999982</v>
      </c>
      <c r="L310" s="18"/>
      <c r="M310" s="18"/>
      <c r="N310" s="18"/>
      <c r="O310" s="26" t="s">
        <v>1036</v>
      </c>
    </row>
    <row r="311" spans="1:15" ht="15" x14ac:dyDescent="0.25">
      <c r="A311">
        <v>309</v>
      </c>
      <c r="B311" s="7" t="s">
        <v>293</v>
      </c>
      <c r="C311" s="13" t="s">
        <v>1263</v>
      </c>
      <c r="D311" s="14" t="s">
        <v>5</v>
      </c>
      <c r="E311" s="15">
        <v>3771</v>
      </c>
      <c r="F311" s="16">
        <v>2407</v>
      </c>
      <c r="G311" s="17" t="s">
        <v>6</v>
      </c>
      <c r="H311" s="18">
        <v>1</v>
      </c>
      <c r="I311" s="19">
        <f>VLOOKUP(B311,[1]Лист2!$A:$J,10,0)</f>
        <v>2774.7449999999999</v>
      </c>
      <c r="J311" s="29">
        <v>2802.4924499999997</v>
      </c>
      <c r="K311" s="19">
        <f t="shared" si="4"/>
        <v>-968.50755000000026</v>
      </c>
      <c r="L311" s="18"/>
      <c r="M311" s="18"/>
      <c r="N311" s="18"/>
      <c r="O311" s="26" t="s">
        <v>1036</v>
      </c>
    </row>
    <row r="312" spans="1:15" ht="15" x14ac:dyDescent="0.25">
      <c r="A312">
        <v>310</v>
      </c>
      <c r="B312" s="8" t="s">
        <v>294</v>
      </c>
      <c r="C312" s="21" t="s">
        <v>1264</v>
      </c>
      <c r="D312" s="22" t="s">
        <v>5</v>
      </c>
      <c r="E312" s="15">
        <v>11035</v>
      </c>
      <c r="F312" s="23">
        <v>9751</v>
      </c>
      <c r="G312" s="24" t="s">
        <v>6</v>
      </c>
      <c r="H312" s="18">
        <v>2</v>
      </c>
      <c r="I312" s="19">
        <f>VLOOKUP(B312,[1]Лист2!$A:$J,10,0)</f>
        <v>9871.67</v>
      </c>
      <c r="J312" s="29">
        <v>9970.3867000000009</v>
      </c>
      <c r="K312" s="19">
        <f t="shared" si="4"/>
        <v>-1064.6132999999991</v>
      </c>
      <c r="L312" s="18"/>
      <c r="M312" s="18"/>
      <c r="N312" s="18"/>
      <c r="O312" s="26" t="s">
        <v>1036</v>
      </c>
    </row>
    <row r="313" spans="1:15" ht="15" x14ac:dyDescent="0.25">
      <c r="A313">
        <v>311</v>
      </c>
      <c r="B313" s="7" t="s">
        <v>295</v>
      </c>
      <c r="C313" s="13" t="s">
        <v>1265</v>
      </c>
      <c r="D313" s="14" t="s">
        <v>24</v>
      </c>
      <c r="E313" s="16">
        <v>2042</v>
      </c>
      <c r="F313" s="15">
        <v>2730</v>
      </c>
      <c r="G313" s="17" t="s">
        <v>6</v>
      </c>
      <c r="H313" s="18">
        <v>2</v>
      </c>
      <c r="I313" s="19"/>
      <c r="J313" s="19">
        <v>2620.7999999999997</v>
      </c>
      <c r="K313" s="19">
        <f t="shared" si="4"/>
        <v>578.79999999999973</v>
      </c>
      <c r="L313" s="18"/>
      <c r="M313" s="18"/>
      <c r="N313" s="18"/>
      <c r="O313" s="26" t="s">
        <v>1036</v>
      </c>
    </row>
    <row r="314" spans="1:15" ht="15" x14ac:dyDescent="0.25">
      <c r="A314">
        <v>312</v>
      </c>
      <c r="B314" s="8" t="s">
        <v>296</v>
      </c>
      <c r="C314" s="21" t="s">
        <v>1266</v>
      </c>
      <c r="D314" s="22" t="s">
        <v>24</v>
      </c>
      <c r="E314" s="23">
        <v>9027</v>
      </c>
      <c r="F314" s="15">
        <v>11108</v>
      </c>
      <c r="G314" s="24" t="s">
        <v>6</v>
      </c>
      <c r="H314" s="18">
        <v>1</v>
      </c>
      <c r="I314" s="19"/>
      <c r="J314" s="19">
        <v>10663.68</v>
      </c>
      <c r="K314" s="19">
        <f t="shared" si="4"/>
        <v>1636.6800000000003</v>
      </c>
      <c r="L314" s="18"/>
      <c r="M314" s="18"/>
      <c r="N314" s="18"/>
      <c r="O314" s="26" t="s">
        <v>1036</v>
      </c>
    </row>
    <row r="315" spans="1:15" ht="15" x14ac:dyDescent="0.25">
      <c r="A315">
        <v>313</v>
      </c>
      <c r="B315" s="7" t="s">
        <v>297</v>
      </c>
      <c r="C315" s="13" t="s">
        <v>1267</v>
      </c>
      <c r="D315" s="14" t="s">
        <v>24</v>
      </c>
      <c r="E315" s="16">
        <v>3504</v>
      </c>
      <c r="F315" s="15">
        <v>4678</v>
      </c>
      <c r="G315" s="17" t="s">
        <v>6</v>
      </c>
      <c r="H315" s="18">
        <v>1</v>
      </c>
      <c r="I315" s="19"/>
      <c r="J315" s="19">
        <v>4490.88</v>
      </c>
      <c r="K315" s="19">
        <f t="shared" si="4"/>
        <v>986.88000000000011</v>
      </c>
      <c r="L315" s="18"/>
      <c r="M315" s="18"/>
      <c r="N315" s="18"/>
      <c r="O315" s="26" t="s">
        <v>1036</v>
      </c>
    </row>
    <row r="316" spans="1:15" ht="15" x14ac:dyDescent="0.25">
      <c r="A316">
        <v>314</v>
      </c>
      <c r="B316" s="8" t="s">
        <v>298</v>
      </c>
      <c r="C316" s="21" t="s">
        <v>1268</v>
      </c>
      <c r="D316" s="22" t="s">
        <v>8</v>
      </c>
      <c r="E316" s="23">
        <v>31182</v>
      </c>
      <c r="F316" s="15">
        <v>43885</v>
      </c>
      <c r="G316" s="24" t="s">
        <v>6</v>
      </c>
      <c r="H316" s="18">
        <v>1</v>
      </c>
      <c r="I316" s="19"/>
      <c r="J316" s="19">
        <v>33560</v>
      </c>
      <c r="K316" s="19">
        <f t="shared" si="4"/>
        <v>2378</v>
      </c>
      <c r="L316" s="18"/>
      <c r="M316" s="18"/>
      <c r="N316" s="18"/>
      <c r="O316" s="26" t="s">
        <v>1036</v>
      </c>
    </row>
    <row r="317" spans="1:15" ht="15" x14ac:dyDescent="0.25">
      <c r="A317">
        <v>315</v>
      </c>
      <c r="B317" s="7" t="s">
        <v>299</v>
      </c>
      <c r="C317" s="13" t="s">
        <v>1269</v>
      </c>
      <c r="D317" s="14" t="s">
        <v>50</v>
      </c>
      <c r="E317" s="16">
        <v>4168</v>
      </c>
      <c r="F317" s="15">
        <v>4768.1000000000004</v>
      </c>
      <c r="G317" s="17" t="s">
        <v>11</v>
      </c>
      <c r="H317" s="18">
        <v>1</v>
      </c>
      <c r="I317" s="19"/>
      <c r="J317" s="19">
        <v>4577.3760000000002</v>
      </c>
      <c r="K317" s="19">
        <f t="shared" si="4"/>
        <v>409.3760000000002</v>
      </c>
      <c r="L317" s="18"/>
      <c r="M317" s="18"/>
      <c r="N317" s="18"/>
      <c r="O317" s="26" t="s">
        <v>1036</v>
      </c>
    </row>
    <row r="318" spans="1:15" ht="15" x14ac:dyDescent="0.25">
      <c r="A318">
        <v>316</v>
      </c>
      <c r="B318" s="8" t="s">
        <v>300</v>
      </c>
      <c r="C318" s="21" t="s">
        <v>1270</v>
      </c>
      <c r="D318" s="22" t="s">
        <v>50</v>
      </c>
      <c r="E318" s="23">
        <v>6509</v>
      </c>
      <c r="F318" s="15">
        <v>7751</v>
      </c>
      <c r="G318" s="24" t="s">
        <v>6</v>
      </c>
      <c r="H318" s="18">
        <v>1</v>
      </c>
      <c r="I318" s="19"/>
      <c r="J318" s="19">
        <v>7440.96</v>
      </c>
      <c r="K318" s="19">
        <f t="shared" si="4"/>
        <v>931.96</v>
      </c>
      <c r="L318" s="18"/>
      <c r="M318" s="18"/>
      <c r="N318" s="18"/>
      <c r="O318" s="26" t="s">
        <v>1036</v>
      </c>
    </row>
    <row r="319" spans="1:15" ht="15" x14ac:dyDescent="0.25">
      <c r="A319">
        <v>317</v>
      </c>
      <c r="B319" s="7" t="s">
        <v>15</v>
      </c>
      <c r="C319" s="13" t="s">
        <v>1045</v>
      </c>
      <c r="D319" s="14" t="s">
        <v>16</v>
      </c>
      <c r="E319" s="16">
        <v>59000</v>
      </c>
      <c r="F319" s="15">
        <v>67450.95</v>
      </c>
      <c r="G319" s="17" t="s">
        <v>11</v>
      </c>
      <c r="H319" s="18">
        <v>1</v>
      </c>
      <c r="I319" s="19"/>
      <c r="J319" s="19">
        <v>63753</v>
      </c>
      <c r="K319" s="19">
        <f t="shared" si="4"/>
        <v>4753</v>
      </c>
      <c r="L319" s="18"/>
      <c r="M319" s="18"/>
      <c r="N319" s="18"/>
      <c r="O319" s="26" t="s">
        <v>1036</v>
      </c>
    </row>
    <row r="320" spans="1:15" ht="15" x14ac:dyDescent="0.25">
      <c r="A320">
        <v>318</v>
      </c>
      <c r="B320" s="8" t="s">
        <v>15</v>
      </c>
      <c r="C320" s="21" t="s">
        <v>1045</v>
      </c>
      <c r="D320" s="22" t="s">
        <v>16</v>
      </c>
      <c r="E320" s="15">
        <v>92840</v>
      </c>
      <c r="F320" s="23">
        <v>74820</v>
      </c>
      <c r="G320" s="24" t="s">
        <v>6</v>
      </c>
      <c r="H320" s="18">
        <v>1</v>
      </c>
      <c r="I320" s="19"/>
      <c r="J320" s="19">
        <v>93768.4</v>
      </c>
      <c r="K320" s="19">
        <f t="shared" si="4"/>
        <v>928.39999999999418</v>
      </c>
      <c r="L320" s="18"/>
      <c r="M320" s="18"/>
      <c r="N320" s="18"/>
      <c r="O320" s="26" t="s">
        <v>1036</v>
      </c>
    </row>
    <row r="321" spans="1:15" ht="15" x14ac:dyDescent="0.25">
      <c r="A321">
        <v>319</v>
      </c>
      <c r="B321" s="7" t="s">
        <v>301</v>
      </c>
      <c r="C321" s="13" t="s">
        <v>1271</v>
      </c>
      <c r="D321" s="14" t="s">
        <v>16</v>
      </c>
      <c r="E321" s="15">
        <v>8023</v>
      </c>
      <c r="F321" s="16">
        <v>2795</v>
      </c>
      <c r="G321" s="17" t="s">
        <v>6</v>
      </c>
      <c r="H321" s="18">
        <v>1</v>
      </c>
      <c r="I321" s="19"/>
      <c r="J321" s="19">
        <v>8103.2300000000005</v>
      </c>
      <c r="K321" s="19">
        <f t="shared" si="4"/>
        <v>80.230000000000473</v>
      </c>
      <c r="L321" s="18"/>
      <c r="M321" s="18"/>
      <c r="N321" s="18"/>
      <c r="O321" s="26" t="s">
        <v>1036</v>
      </c>
    </row>
    <row r="322" spans="1:15" ht="15" x14ac:dyDescent="0.25">
      <c r="A322">
        <v>320</v>
      </c>
      <c r="B322" s="8" t="s">
        <v>302</v>
      </c>
      <c r="C322" s="21" t="s">
        <v>1272</v>
      </c>
      <c r="D322" s="22" t="s">
        <v>16</v>
      </c>
      <c r="E322" s="23">
        <v>2567</v>
      </c>
      <c r="F322" s="15">
        <v>2582</v>
      </c>
      <c r="G322" s="24" t="s">
        <v>6</v>
      </c>
      <c r="H322" s="18">
        <v>1</v>
      </c>
      <c r="I322" s="19"/>
      <c r="J322" s="19">
        <v>2592.67</v>
      </c>
      <c r="K322" s="19">
        <f t="shared" si="4"/>
        <v>25.670000000000073</v>
      </c>
      <c r="L322" s="18"/>
      <c r="M322" s="18"/>
      <c r="N322" s="18"/>
      <c r="O322" s="26" t="s">
        <v>1036</v>
      </c>
    </row>
    <row r="323" spans="1:15" ht="15" x14ac:dyDescent="0.25">
      <c r="A323">
        <v>321</v>
      </c>
      <c r="B323" s="7" t="s">
        <v>303</v>
      </c>
      <c r="C323" s="13" t="s">
        <v>1273</v>
      </c>
      <c r="D323" s="14" t="s">
        <v>8</v>
      </c>
      <c r="E323" s="16">
        <v>35533</v>
      </c>
      <c r="F323" s="15">
        <v>41676</v>
      </c>
      <c r="G323" s="17" t="s">
        <v>6</v>
      </c>
      <c r="H323" s="18">
        <v>1</v>
      </c>
      <c r="I323" s="19"/>
      <c r="J323" s="19">
        <v>38596</v>
      </c>
      <c r="K323" s="19">
        <f t="shared" ref="K323:K386" si="5">J323-E323</f>
        <v>3063</v>
      </c>
      <c r="L323" s="18"/>
      <c r="M323" s="18"/>
      <c r="N323" s="18"/>
      <c r="O323" s="26" t="s">
        <v>1036</v>
      </c>
    </row>
    <row r="324" spans="1:15" ht="15" x14ac:dyDescent="0.25">
      <c r="A324">
        <v>322</v>
      </c>
      <c r="B324" s="8" t="s">
        <v>304</v>
      </c>
      <c r="C324" s="21" t="s">
        <v>1274</v>
      </c>
      <c r="D324" s="22" t="s">
        <v>8</v>
      </c>
      <c r="E324" s="23">
        <v>49773</v>
      </c>
      <c r="F324" s="15">
        <v>58374</v>
      </c>
      <c r="G324" s="24" t="s">
        <v>6</v>
      </c>
      <c r="H324" s="18">
        <v>1</v>
      </c>
      <c r="I324" s="19"/>
      <c r="J324" s="19">
        <v>52039.040000000001</v>
      </c>
      <c r="K324" s="19">
        <f t="shared" si="5"/>
        <v>2266.0400000000009</v>
      </c>
      <c r="L324" s="18"/>
      <c r="M324" s="18"/>
      <c r="N324" s="18"/>
      <c r="O324" s="26" t="s">
        <v>1036</v>
      </c>
    </row>
    <row r="325" spans="1:15" ht="15" x14ac:dyDescent="0.25">
      <c r="A325">
        <v>323</v>
      </c>
      <c r="B325" s="7" t="s">
        <v>305</v>
      </c>
      <c r="C325" s="13" t="s">
        <v>1275</v>
      </c>
      <c r="D325" s="14" t="s">
        <v>8</v>
      </c>
      <c r="E325" s="16">
        <v>10798</v>
      </c>
      <c r="F325" s="15">
        <v>12671</v>
      </c>
      <c r="G325" s="17" t="s">
        <v>6</v>
      </c>
      <c r="H325" s="18">
        <v>1</v>
      </c>
      <c r="I325" s="19"/>
      <c r="J325" s="19">
        <v>12164.16</v>
      </c>
      <c r="K325" s="19">
        <f t="shared" si="5"/>
        <v>1366.1599999999999</v>
      </c>
      <c r="L325" s="18"/>
      <c r="M325" s="18"/>
      <c r="N325" s="18"/>
      <c r="O325" s="26" t="s">
        <v>1036</v>
      </c>
    </row>
    <row r="326" spans="1:15" ht="15" x14ac:dyDescent="0.25">
      <c r="A326">
        <v>324</v>
      </c>
      <c r="B326" s="8" t="s">
        <v>306</v>
      </c>
      <c r="C326" s="21" t="s">
        <v>1276</v>
      </c>
      <c r="D326" s="22" t="s">
        <v>307</v>
      </c>
      <c r="E326" s="23">
        <v>2751</v>
      </c>
      <c r="F326" s="15">
        <v>3114</v>
      </c>
      <c r="G326" s="24" t="s">
        <v>6</v>
      </c>
      <c r="H326" s="18">
        <v>1</v>
      </c>
      <c r="I326" s="19">
        <f>VLOOKUP(B326,[1]Лист2!$A:$J,10,0)</f>
        <v>2622.07</v>
      </c>
      <c r="J326" s="19">
        <v>2989.44</v>
      </c>
      <c r="K326" s="19">
        <f t="shared" si="5"/>
        <v>238.44000000000005</v>
      </c>
      <c r="L326" s="18"/>
      <c r="M326" s="18"/>
      <c r="N326" s="18"/>
      <c r="O326" s="26" t="s">
        <v>1036</v>
      </c>
    </row>
    <row r="327" spans="1:15" ht="15" x14ac:dyDescent="0.25">
      <c r="A327">
        <v>325</v>
      </c>
      <c r="B327" s="7" t="s">
        <v>308</v>
      </c>
      <c r="C327" s="13" t="s">
        <v>1242</v>
      </c>
      <c r="D327" s="14" t="s">
        <v>309</v>
      </c>
      <c r="E327" s="16">
        <v>81600</v>
      </c>
      <c r="F327" s="15">
        <v>144781</v>
      </c>
      <c r="G327" s="17" t="s">
        <v>6</v>
      </c>
      <c r="H327" s="18">
        <v>1</v>
      </c>
      <c r="I327" s="19"/>
      <c r="J327" s="19">
        <v>99000</v>
      </c>
      <c r="K327" s="19">
        <f t="shared" si="5"/>
        <v>17400</v>
      </c>
      <c r="L327" s="18"/>
      <c r="M327" s="18"/>
      <c r="N327" s="18"/>
      <c r="O327" s="26" t="s">
        <v>1036</v>
      </c>
    </row>
    <row r="328" spans="1:15" ht="15" x14ac:dyDescent="0.25">
      <c r="A328">
        <v>326</v>
      </c>
      <c r="B328" s="8" t="s">
        <v>310</v>
      </c>
      <c r="C328" s="21" t="s">
        <v>1277</v>
      </c>
      <c r="D328" s="22" t="s">
        <v>311</v>
      </c>
      <c r="E328" s="15">
        <v>17842</v>
      </c>
      <c r="F328" s="23">
        <v>6963</v>
      </c>
      <c r="G328" s="24" t="s">
        <v>6</v>
      </c>
      <c r="H328" s="18">
        <v>1</v>
      </c>
      <c r="I328" s="19">
        <f>VLOOKUP(B328,[1]Лист2!$A:$J,10,0)</f>
        <v>9602.7649999999994</v>
      </c>
      <c r="J328" s="29">
        <v>9698.7926499999994</v>
      </c>
      <c r="K328" s="19">
        <f t="shared" si="5"/>
        <v>-8143.2073500000006</v>
      </c>
      <c r="L328" s="18"/>
      <c r="M328" s="18"/>
      <c r="N328" s="18"/>
      <c r="O328" s="26" t="s">
        <v>1036</v>
      </c>
    </row>
    <row r="329" spans="1:15" ht="15" x14ac:dyDescent="0.25">
      <c r="A329">
        <v>327</v>
      </c>
      <c r="B329" s="7" t="s">
        <v>312</v>
      </c>
      <c r="C329" s="13" t="s">
        <v>1278</v>
      </c>
      <c r="D329" s="14" t="s">
        <v>54</v>
      </c>
      <c r="E329" s="15">
        <v>2160</v>
      </c>
      <c r="F329" s="16">
        <v>637</v>
      </c>
      <c r="G329" s="17" t="s">
        <v>6</v>
      </c>
      <c r="H329" s="18">
        <v>3</v>
      </c>
      <c r="I329" s="19"/>
      <c r="J329" s="19">
        <v>2181.6</v>
      </c>
      <c r="K329" s="19">
        <f t="shared" si="5"/>
        <v>21.599999999999909</v>
      </c>
      <c r="L329" s="18"/>
      <c r="M329" s="18"/>
      <c r="N329" s="18"/>
      <c r="O329" s="26" t="s">
        <v>1036</v>
      </c>
    </row>
    <row r="330" spans="1:15" ht="15" x14ac:dyDescent="0.25">
      <c r="A330">
        <v>328</v>
      </c>
      <c r="B330" s="8" t="s">
        <v>313</v>
      </c>
      <c r="C330" s="21" t="s">
        <v>1279</v>
      </c>
      <c r="D330" s="22" t="s">
        <v>314</v>
      </c>
      <c r="E330" s="23">
        <v>11079</v>
      </c>
      <c r="F330" s="23">
        <v>11079</v>
      </c>
      <c r="G330" s="25"/>
      <c r="H330" s="18">
        <v>1</v>
      </c>
      <c r="I330" s="19"/>
      <c r="J330" s="19">
        <v>11189.79</v>
      </c>
      <c r="K330" s="19">
        <f t="shared" si="5"/>
        <v>110.79000000000087</v>
      </c>
      <c r="L330" s="18"/>
      <c r="M330" s="18"/>
      <c r="N330" s="18"/>
      <c r="O330" s="26" t="s">
        <v>1036</v>
      </c>
    </row>
    <row r="331" spans="1:15" ht="15" x14ac:dyDescent="0.25">
      <c r="A331">
        <v>329</v>
      </c>
      <c r="B331" s="7" t="s">
        <v>315</v>
      </c>
      <c r="C331" s="13" t="s">
        <v>1280</v>
      </c>
      <c r="D331" s="14" t="s">
        <v>48</v>
      </c>
      <c r="E331" s="16">
        <v>7606</v>
      </c>
      <c r="F331" s="15">
        <v>7620</v>
      </c>
      <c r="G331" s="17" t="s">
        <v>6</v>
      </c>
      <c r="H331" s="18">
        <v>1</v>
      </c>
      <c r="I331" s="19"/>
      <c r="J331" s="19">
        <v>7682.06</v>
      </c>
      <c r="K331" s="19">
        <f t="shared" si="5"/>
        <v>76.0600000000004</v>
      </c>
      <c r="L331" s="18"/>
      <c r="M331" s="18"/>
      <c r="N331" s="18"/>
      <c r="O331" s="26" t="s">
        <v>1036</v>
      </c>
    </row>
    <row r="332" spans="1:15" ht="15" x14ac:dyDescent="0.25">
      <c r="A332">
        <v>330</v>
      </c>
      <c r="B332" s="8" t="s">
        <v>316</v>
      </c>
      <c r="C332" s="21" t="s">
        <v>1281</v>
      </c>
      <c r="D332" s="22" t="s">
        <v>14</v>
      </c>
      <c r="E332" s="23">
        <v>30100</v>
      </c>
      <c r="F332" s="15">
        <v>36908</v>
      </c>
      <c r="G332" s="24" t="s">
        <v>6</v>
      </c>
      <c r="H332" s="18">
        <v>1</v>
      </c>
      <c r="I332" s="19"/>
      <c r="J332" s="19">
        <v>33258</v>
      </c>
      <c r="K332" s="19">
        <f t="shared" si="5"/>
        <v>3158</v>
      </c>
      <c r="L332" s="18"/>
      <c r="M332" s="18"/>
      <c r="N332" s="18"/>
      <c r="O332" s="26" t="s">
        <v>1036</v>
      </c>
    </row>
    <row r="333" spans="1:15" ht="15" x14ac:dyDescent="0.25">
      <c r="A333">
        <v>331</v>
      </c>
      <c r="B333" s="7" t="s">
        <v>317</v>
      </c>
      <c r="C333" s="13" t="s">
        <v>1282</v>
      </c>
      <c r="D333" s="14" t="s">
        <v>14</v>
      </c>
      <c r="E333" s="16">
        <v>17080</v>
      </c>
      <c r="F333" s="15">
        <v>20947</v>
      </c>
      <c r="G333" s="17" t="s">
        <v>6</v>
      </c>
      <c r="H333" s="18">
        <v>1</v>
      </c>
      <c r="I333" s="19"/>
      <c r="J333" s="19">
        <v>20109.12</v>
      </c>
      <c r="K333" s="19">
        <f t="shared" si="5"/>
        <v>3029.119999999999</v>
      </c>
      <c r="L333" s="18"/>
      <c r="M333" s="18"/>
      <c r="N333" s="18"/>
      <c r="O333" s="26" t="s">
        <v>1036</v>
      </c>
    </row>
    <row r="334" spans="1:15" ht="15" x14ac:dyDescent="0.25">
      <c r="A334">
        <v>332</v>
      </c>
      <c r="B334" s="8" t="s">
        <v>318</v>
      </c>
      <c r="C334" s="21" t="s">
        <v>1283</v>
      </c>
      <c r="D334" s="22" t="s">
        <v>14</v>
      </c>
      <c r="E334" s="23">
        <v>223620</v>
      </c>
      <c r="F334" s="15">
        <v>234062</v>
      </c>
      <c r="G334" s="24" t="s">
        <v>6</v>
      </c>
      <c r="H334" s="18">
        <v>1</v>
      </c>
      <c r="I334" s="19"/>
      <c r="J334" s="19">
        <v>224699.51999999999</v>
      </c>
      <c r="K334" s="19">
        <f t="shared" si="5"/>
        <v>1079.5199999999895</v>
      </c>
      <c r="L334" s="18"/>
      <c r="M334" s="18"/>
      <c r="N334" s="18"/>
      <c r="O334" s="26" t="s">
        <v>1036</v>
      </c>
    </row>
    <row r="335" spans="1:15" ht="15" x14ac:dyDescent="0.25">
      <c r="A335">
        <v>333</v>
      </c>
      <c r="B335" s="7" t="s">
        <v>319</v>
      </c>
      <c r="C335" s="13" t="s">
        <v>1284</v>
      </c>
      <c r="D335" s="14" t="s">
        <v>230</v>
      </c>
      <c r="E335" s="16">
        <v>1160</v>
      </c>
      <c r="F335" s="15">
        <v>1431</v>
      </c>
      <c r="G335" s="17" t="s">
        <v>6</v>
      </c>
      <c r="H335" s="18">
        <v>1</v>
      </c>
      <c r="I335" s="19"/>
      <c r="J335" s="19">
        <v>1373.76</v>
      </c>
      <c r="K335" s="19">
        <f t="shared" si="5"/>
        <v>213.76</v>
      </c>
      <c r="L335" s="18"/>
      <c r="M335" s="18"/>
      <c r="N335" s="18"/>
      <c r="O335" s="26" t="s">
        <v>1036</v>
      </c>
    </row>
    <row r="336" spans="1:15" ht="15" x14ac:dyDescent="0.25">
      <c r="A336">
        <v>334</v>
      </c>
      <c r="B336" s="8" t="s">
        <v>320</v>
      </c>
      <c r="C336" s="21" t="s">
        <v>1285</v>
      </c>
      <c r="D336" s="22" t="s">
        <v>29</v>
      </c>
      <c r="E336" s="15">
        <v>73664</v>
      </c>
      <c r="F336" s="23">
        <v>72036</v>
      </c>
      <c r="G336" s="24" t="s">
        <v>6</v>
      </c>
      <c r="H336" s="18">
        <v>1</v>
      </c>
      <c r="I336" s="19"/>
      <c r="J336" s="19">
        <v>74400.639999999999</v>
      </c>
      <c r="K336" s="19">
        <f t="shared" si="5"/>
        <v>736.63999999999942</v>
      </c>
      <c r="L336" s="18"/>
      <c r="M336" s="18"/>
      <c r="N336" s="18"/>
      <c r="O336" s="26" t="s">
        <v>1036</v>
      </c>
    </row>
    <row r="337" spans="1:15" ht="15" x14ac:dyDescent="0.25">
      <c r="A337">
        <v>335</v>
      </c>
      <c r="B337" s="7" t="s">
        <v>321</v>
      </c>
      <c r="C337" s="13" t="s">
        <v>1286</v>
      </c>
      <c r="D337" s="14" t="s">
        <v>322</v>
      </c>
      <c r="E337" s="16">
        <v>12616</v>
      </c>
      <c r="F337" s="15">
        <v>17452.71</v>
      </c>
      <c r="G337" s="17" t="s">
        <v>11</v>
      </c>
      <c r="H337" s="18">
        <v>1</v>
      </c>
      <c r="I337" s="19"/>
      <c r="J337" s="19">
        <v>15489</v>
      </c>
      <c r="K337" s="19">
        <f t="shared" si="5"/>
        <v>2873</v>
      </c>
      <c r="L337" s="18"/>
      <c r="M337" s="18"/>
      <c r="N337" s="18"/>
      <c r="O337" s="26" t="s">
        <v>1036</v>
      </c>
    </row>
    <row r="338" spans="1:15" ht="15" x14ac:dyDescent="0.25">
      <c r="A338">
        <v>336</v>
      </c>
      <c r="B338" s="8" t="s">
        <v>323</v>
      </c>
      <c r="C338" s="21" t="s">
        <v>1287</v>
      </c>
      <c r="D338" s="22" t="s">
        <v>14</v>
      </c>
      <c r="E338" s="23">
        <v>38784</v>
      </c>
      <c r="F338" s="15">
        <v>47554</v>
      </c>
      <c r="G338" s="24" t="s">
        <v>6</v>
      </c>
      <c r="H338" s="18">
        <v>1</v>
      </c>
      <c r="I338" s="19"/>
      <c r="J338" s="19">
        <v>41651.839999999997</v>
      </c>
      <c r="K338" s="19">
        <f t="shared" si="5"/>
        <v>2867.8399999999965</v>
      </c>
      <c r="L338" s="18"/>
      <c r="M338" s="18"/>
      <c r="N338" s="18"/>
      <c r="O338" s="26" t="s">
        <v>1036</v>
      </c>
    </row>
    <row r="339" spans="1:15" ht="15" x14ac:dyDescent="0.25">
      <c r="A339">
        <v>337</v>
      </c>
      <c r="B339" s="7" t="s">
        <v>324</v>
      </c>
      <c r="C339" s="13" t="s">
        <v>1288</v>
      </c>
      <c r="D339" s="14" t="s">
        <v>8</v>
      </c>
      <c r="E339" s="15">
        <v>3085</v>
      </c>
      <c r="F339" s="16">
        <v>1809</v>
      </c>
      <c r="G339" s="17" t="s">
        <v>6</v>
      </c>
      <c r="H339" s="18">
        <v>1</v>
      </c>
      <c r="I339" s="19">
        <f>VLOOKUP(B339,[1]Лист2!$A:$J,10,0)</f>
        <v>1584.865</v>
      </c>
      <c r="J339" s="19">
        <v>1736.6399999999999</v>
      </c>
      <c r="K339" s="19">
        <f t="shared" si="5"/>
        <v>-1348.3600000000001</v>
      </c>
      <c r="L339" s="18"/>
      <c r="M339" s="18"/>
      <c r="N339" s="18"/>
      <c r="O339" s="26" t="s">
        <v>1036</v>
      </c>
    </row>
    <row r="340" spans="1:15" ht="15" x14ac:dyDescent="0.25">
      <c r="A340">
        <v>338</v>
      </c>
      <c r="B340" s="8" t="s">
        <v>325</v>
      </c>
      <c r="C340" s="21" t="s">
        <v>1289</v>
      </c>
      <c r="D340" s="22" t="s">
        <v>326</v>
      </c>
      <c r="E340" s="23">
        <v>52</v>
      </c>
      <c r="F340" s="15">
        <v>93</v>
      </c>
      <c r="G340" s="24" t="s">
        <v>6</v>
      </c>
      <c r="H340" s="18">
        <v>1</v>
      </c>
      <c r="I340" s="19"/>
      <c r="J340" s="19">
        <v>89.28</v>
      </c>
      <c r="K340" s="19">
        <f t="shared" si="5"/>
        <v>37.28</v>
      </c>
      <c r="L340" s="18"/>
      <c r="M340" s="18"/>
      <c r="N340" s="18"/>
      <c r="O340" s="26" t="s">
        <v>1036</v>
      </c>
    </row>
    <row r="341" spans="1:15" ht="15" x14ac:dyDescent="0.25">
      <c r="A341">
        <v>339</v>
      </c>
      <c r="B341" s="7" t="s">
        <v>327</v>
      </c>
      <c r="C341" s="13" t="s">
        <v>1290</v>
      </c>
      <c r="D341" s="14" t="s">
        <v>152</v>
      </c>
      <c r="E341" s="15">
        <v>3104</v>
      </c>
      <c r="F341" s="16">
        <v>1460.63</v>
      </c>
      <c r="G341" s="17" t="s">
        <v>9</v>
      </c>
      <c r="H341" s="18">
        <v>1</v>
      </c>
      <c r="I341" s="19">
        <f>VLOOKUP(B341,[1]Лист2!$A:$J,10,0)</f>
        <v>1322.855</v>
      </c>
      <c r="J341" s="19">
        <v>1402.2048</v>
      </c>
      <c r="K341" s="19">
        <f t="shared" si="5"/>
        <v>-1701.7952</v>
      </c>
      <c r="L341" s="18"/>
      <c r="M341" s="18"/>
      <c r="N341" s="18"/>
      <c r="O341" s="26" t="s">
        <v>1036</v>
      </c>
    </row>
    <row r="342" spans="1:15" ht="15" x14ac:dyDescent="0.25">
      <c r="A342">
        <v>340</v>
      </c>
      <c r="B342" s="8" t="s">
        <v>328</v>
      </c>
      <c r="C342" s="21" t="s">
        <v>1291</v>
      </c>
      <c r="D342" s="22" t="s">
        <v>103</v>
      </c>
      <c r="E342" s="23">
        <v>3529</v>
      </c>
      <c r="F342" s="15">
        <v>4335</v>
      </c>
      <c r="G342" s="24" t="s">
        <v>6</v>
      </c>
      <c r="H342" s="18">
        <v>1</v>
      </c>
      <c r="I342" s="19"/>
      <c r="J342" s="19">
        <v>4161.5999999999995</v>
      </c>
      <c r="K342" s="19">
        <f t="shared" si="5"/>
        <v>632.59999999999945</v>
      </c>
      <c r="L342" s="18"/>
      <c r="M342" s="18"/>
      <c r="N342" s="18"/>
      <c r="O342" s="26" t="s">
        <v>1036</v>
      </c>
    </row>
    <row r="343" spans="1:15" ht="15" x14ac:dyDescent="0.25">
      <c r="A343">
        <v>341</v>
      </c>
      <c r="B343" s="7" t="s">
        <v>329</v>
      </c>
      <c r="C343" s="13" t="s">
        <v>1292</v>
      </c>
      <c r="D343" s="14" t="s">
        <v>50</v>
      </c>
      <c r="E343" s="15">
        <v>4657</v>
      </c>
      <c r="F343" s="16">
        <v>4157.0600000000004</v>
      </c>
      <c r="G343" s="17" t="s">
        <v>78</v>
      </c>
      <c r="H343" s="18">
        <v>1</v>
      </c>
      <c r="I343" s="19"/>
      <c r="J343" s="19">
        <v>4703.57</v>
      </c>
      <c r="K343" s="19">
        <f t="shared" si="5"/>
        <v>46.569999999999709</v>
      </c>
      <c r="L343" s="18"/>
      <c r="M343" s="18"/>
      <c r="N343" s="18"/>
      <c r="O343" s="26" t="s">
        <v>1036</v>
      </c>
    </row>
    <row r="344" spans="1:15" ht="15" x14ac:dyDescent="0.25">
      <c r="A344">
        <v>342</v>
      </c>
      <c r="B344" s="8" t="s">
        <v>330</v>
      </c>
      <c r="C344" s="21" t="s">
        <v>1293</v>
      </c>
      <c r="D344" s="22" t="s">
        <v>66</v>
      </c>
      <c r="E344" s="23">
        <v>1838</v>
      </c>
      <c r="F344" s="15">
        <v>2713</v>
      </c>
      <c r="G344" s="24" t="s">
        <v>6</v>
      </c>
      <c r="H344" s="18">
        <v>1</v>
      </c>
      <c r="I344" s="19"/>
      <c r="J344" s="19">
        <v>2604.48</v>
      </c>
      <c r="K344" s="19">
        <f t="shared" si="5"/>
        <v>766.48</v>
      </c>
      <c r="L344" s="18"/>
      <c r="M344" s="18"/>
      <c r="N344" s="18"/>
      <c r="O344" s="26" t="s">
        <v>1036</v>
      </c>
    </row>
    <row r="345" spans="1:15" ht="15" x14ac:dyDescent="0.25">
      <c r="A345">
        <v>343</v>
      </c>
      <c r="B345" s="7" t="s">
        <v>331</v>
      </c>
      <c r="C345" s="13" t="s">
        <v>1294</v>
      </c>
      <c r="D345" s="14" t="s">
        <v>64</v>
      </c>
      <c r="E345" s="16">
        <v>7003</v>
      </c>
      <c r="F345" s="15">
        <v>8594</v>
      </c>
      <c r="G345" s="17" t="s">
        <v>6</v>
      </c>
      <c r="H345" s="18">
        <v>1</v>
      </c>
      <c r="I345" s="19">
        <f>VLOOKUP(B345,[1]Лист2!$A:$J,10,0)</f>
        <v>3148.06</v>
      </c>
      <c r="J345" s="19">
        <v>8250.24</v>
      </c>
      <c r="K345" s="19">
        <f t="shared" si="5"/>
        <v>1247.2399999999998</v>
      </c>
      <c r="L345" s="18"/>
      <c r="M345" s="18"/>
      <c r="N345" s="18"/>
      <c r="O345" s="26" t="s">
        <v>1036</v>
      </c>
    </row>
    <row r="346" spans="1:15" ht="15" x14ac:dyDescent="0.25">
      <c r="A346">
        <v>344</v>
      </c>
      <c r="B346" s="8" t="s">
        <v>332</v>
      </c>
      <c r="C346" s="21" t="s">
        <v>1295</v>
      </c>
      <c r="D346" s="22" t="s">
        <v>64</v>
      </c>
      <c r="E346" s="23">
        <v>5954</v>
      </c>
      <c r="F346" s="15">
        <v>7308</v>
      </c>
      <c r="G346" s="24" t="s">
        <v>6</v>
      </c>
      <c r="H346" s="18">
        <v>1</v>
      </c>
      <c r="I346" s="19"/>
      <c r="J346" s="19">
        <v>7015.6799999999994</v>
      </c>
      <c r="K346" s="19">
        <f t="shared" si="5"/>
        <v>1061.6799999999994</v>
      </c>
      <c r="L346" s="18"/>
      <c r="M346" s="18"/>
      <c r="N346" s="18"/>
      <c r="O346" s="26" t="s">
        <v>1036</v>
      </c>
    </row>
    <row r="347" spans="1:15" ht="15" x14ac:dyDescent="0.25">
      <c r="A347">
        <v>345</v>
      </c>
      <c r="B347" s="7" t="s">
        <v>333</v>
      </c>
      <c r="C347" s="13" t="s">
        <v>1296</v>
      </c>
      <c r="D347" s="14" t="s">
        <v>64</v>
      </c>
      <c r="E347" s="16">
        <v>1776</v>
      </c>
      <c r="F347" s="15">
        <v>2185</v>
      </c>
      <c r="G347" s="17" t="s">
        <v>6</v>
      </c>
      <c r="H347" s="18">
        <v>1</v>
      </c>
      <c r="I347" s="19"/>
      <c r="J347" s="19">
        <v>2097.6</v>
      </c>
      <c r="K347" s="19">
        <f t="shared" si="5"/>
        <v>321.59999999999991</v>
      </c>
      <c r="L347" s="18"/>
      <c r="M347" s="18"/>
      <c r="N347" s="18"/>
      <c r="O347" s="26" t="s">
        <v>1036</v>
      </c>
    </row>
    <row r="348" spans="1:15" ht="15" x14ac:dyDescent="0.25">
      <c r="A348">
        <v>346</v>
      </c>
      <c r="B348" s="8" t="s">
        <v>334</v>
      </c>
      <c r="C348" s="21" t="s">
        <v>1297</v>
      </c>
      <c r="D348" s="22" t="s">
        <v>64</v>
      </c>
      <c r="E348" s="23">
        <v>1006</v>
      </c>
      <c r="F348" s="15">
        <v>1488</v>
      </c>
      <c r="G348" s="24" t="s">
        <v>6</v>
      </c>
      <c r="H348" s="18">
        <v>1</v>
      </c>
      <c r="I348" s="19"/>
      <c r="J348" s="19">
        <v>1428.48</v>
      </c>
      <c r="K348" s="19">
        <f t="shared" si="5"/>
        <v>422.48</v>
      </c>
      <c r="L348" s="18"/>
      <c r="M348" s="18"/>
      <c r="N348" s="18"/>
      <c r="O348" s="26" t="s">
        <v>1036</v>
      </c>
    </row>
    <row r="349" spans="1:15" ht="15" x14ac:dyDescent="0.25">
      <c r="A349">
        <v>347</v>
      </c>
      <c r="B349" s="7" t="s">
        <v>335</v>
      </c>
      <c r="C349" s="13" t="s">
        <v>1298</v>
      </c>
      <c r="D349" s="14" t="s">
        <v>64</v>
      </c>
      <c r="E349" s="15">
        <v>6582</v>
      </c>
      <c r="F349" s="16">
        <v>5075</v>
      </c>
      <c r="G349" s="17" t="s">
        <v>6</v>
      </c>
      <c r="H349" s="18">
        <v>1</v>
      </c>
      <c r="I349" s="19">
        <f>VLOOKUP(B349,[1]Лист2!$A:$J,10,0)</f>
        <v>5002.8149999999996</v>
      </c>
      <c r="J349" s="29">
        <v>5052.8431499999997</v>
      </c>
      <c r="K349" s="19">
        <f t="shared" si="5"/>
        <v>-1529.1568500000003</v>
      </c>
      <c r="L349" s="18"/>
      <c r="M349" s="18"/>
      <c r="N349" s="18"/>
      <c r="O349" s="26" t="s">
        <v>1036</v>
      </c>
    </row>
    <row r="350" spans="1:15" ht="15" x14ac:dyDescent="0.25">
      <c r="A350">
        <v>348</v>
      </c>
      <c r="B350" s="8" t="s">
        <v>336</v>
      </c>
      <c r="C350" s="21" t="s">
        <v>1299</v>
      </c>
      <c r="D350" s="22" t="s">
        <v>103</v>
      </c>
      <c r="E350" s="15">
        <v>3100</v>
      </c>
      <c r="F350" s="23">
        <v>2107</v>
      </c>
      <c r="G350" s="24" t="s">
        <v>6</v>
      </c>
      <c r="H350" s="18">
        <v>1</v>
      </c>
      <c r="I350" s="19">
        <f>VLOOKUP(B350,[1]Лист2!$A:$J,10,0)</f>
        <v>2183.7449999999999</v>
      </c>
      <c r="J350" s="29">
        <v>2205.5824499999999</v>
      </c>
      <c r="K350" s="19">
        <f t="shared" si="5"/>
        <v>-894.41755000000012</v>
      </c>
      <c r="L350" s="18"/>
      <c r="M350" s="18"/>
      <c r="N350" s="18"/>
      <c r="O350" s="26" t="s">
        <v>1036</v>
      </c>
    </row>
    <row r="351" spans="1:15" ht="15" x14ac:dyDescent="0.25">
      <c r="A351">
        <v>349</v>
      </c>
      <c r="B351" s="7" t="s">
        <v>337</v>
      </c>
      <c r="C351" s="13" t="s">
        <v>1300</v>
      </c>
      <c r="D351" s="14" t="s">
        <v>8</v>
      </c>
      <c r="E351" s="16">
        <v>5541</v>
      </c>
      <c r="F351" s="15">
        <v>6506</v>
      </c>
      <c r="G351" s="17" t="s">
        <v>6</v>
      </c>
      <c r="H351" s="18">
        <v>1</v>
      </c>
      <c r="I351" s="19"/>
      <c r="J351" s="19">
        <v>6245.76</v>
      </c>
      <c r="K351" s="19">
        <f t="shared" si="5"/>
        <v>704.76000000000022</v>
      </c>
      <c r="L351" s="18"/>
      <c r="M351" s="18"/>
      <c r="N351" s="18"/>
      <c r="O351" s="26" t="s">
        <v>1036</v>
      </c>
    </row>
    <row r="352" spans="1:15" ht="15" x14ac:dyDescent="0.25">
      <c r="A352">
        <v>350</v>
      </c>
      <c r="B352" s="8" t="s">
        <v>338</v>
      </c>
      <c r="C352" s="21" t="s">
        <v>1301</v>
      </c>
      <c r="D352" s="22" t="s">
        <v>8</v>
      </c>
      <c r="E352" s="23">
        <v>1170</v>
      </c>
      <c r="F352" s="15">
        <v>1381</v>
      </c>
      <c r="G352" s="24" t="s">
        <v>6</v>
      </c>
      <c r="H352" s="18">
        <v>1</v>
      </c>
      <c r="I352" s="19">
        <f>VLOOKUP(B352,[1]Лист2!$A:$J,10,0)</f>
        <v>446.20499999999998</v>
      </c>
      <c r="J352" s="19">
        <v>1325.76</v>
      </c>
      <c r="K352" s="19">
        <f t="shared" si="5"/>
        <v>155.76</v>
      </c>
      <c r="L352" s="18"/>
      <c r="M352" s="18"/>
      <c r="N352" s="18"/>
      <c r="O352" s="26" t="s">
        <v>1036</v>
      </c>
    </row>
    <row r="353" spans="1:15" ht="15" x14ac:dyDescent="0.25">
      <c r="A353">
        <v>351</v>
      </c>
      <c r="B353" s="7" t="s">
        <v>338</v>
      </c>
      <c r="C353" s="13" t="s">
        <v>1301</v>
      </c>
      <c r="D353" s="14" t="s">
        <v>8</v>
      </c>
      <c r="E353" s="16">
        <v>1170</v>
      </c>
      <c r="F353" s="15">
        <v>1381</v>
      </c>
      <c r="G353" s="17" t="s">
        <v>6</v>
      </c>
      <c r="H353" s="18">
        <v>1</v>
      </c>
      <c r="I353" s="19">
        <f>VLOOKUP(B353,[1]Лист2!$A:$J,10,0)</f>
        <v>446.20499999999998</v>
      </c>
      <c r="J353" s="19">
        <v>1325.76</v>
      </c>
      <c r="K353" s="19">
        <f t="shared" si="5"/>
        <v>155.76</v>
      </c>
      <c r="L353" s="18"/>
      <c r="M353" s="18"/>
      <c r="N353" s="18"/>
      <c r="O353" s="26" t="s">
        <v>1036</v>
      </c>
    </row>
    <row r="354" spans="1:15" ht="15" x14ac:dyDescent="0.25">
      <c r="A354">
        <v>352</v>
      </c>
      <c r="B354" s="8" t="s">
        <v>339</v>
      </c>
      <c r="C354" s="21" t="s">
        <v>1302</v>
      </c>
      <c r="D354" s="22" t="s">
        <v>8</v>
      </c>
      <c r="E354" s="23">
        <v>1265</v>
      </c>
      <c r="F354" s="15">
        <v>1492</v>
      </c>
      <c r="G354" s="24" t="s">
        <v>6</v>
      </c>
      <c r="H354" s="18">
        <v>1</v>
      </c>
      <c r="I354" s="19"/>
      <c r="J354" s="19">
        <v>1432.32</v>
      </c>
      <c r="K354" s="19">
        <f t="shared" si="5"/>
        <v>167.31999999999994</v>
      </c>
      <c r="L354" s="18"/>
      <c r="M354" s="18"/>
      <c r="N354" s="18"/>
      <c r="O354" s="26" t="s">
        <v>1036</v>
      </c>
    </row>
    <row r="355" spans="1:15" ht="15" x14ac:dyDescent="0.25">
      <c r="A355">
        <v>353</v>
      </c>
      <c r="B355" s="7" t="s">
        <v>340</v>
      </c>
      <c r="C355" s="13" t="s">
        <v>1294</v>
      </c>
      <c r="D355" s="14" t="s">
        <v>64</v>
      </c>
      <c r="E355" s="16">
        <v>8394</v>
      </c>
      <c r="F355" s="15">
        <v>10299</v>
      </c>
      <c r="G355" s="17" t="s">
        <v>6</v>
      </c>
      <c r="H355" s="18">
        <v>1</v>
      </c>
      <c r="I355" s="19"/>
      <c r="J355" s="19">
        <v>9887.0399999999991</v>
      </c>
      <c r="K355" s="19">
        <f t="shared" si="5"/>
        <v>1493.0399999999991</v>
      </c>
      <c r="L355" s="18"/>
      <c r="M355" s="18"/>
      <c r="N355" s="18"/>
      <c r="O355" s="26" t="s">
        <v>1036</v>
      </c>
    </row>
    <row r="356" spans="1:15" ht="15" x14ac:dyDescent="0.25">
      <c r="A356">
        <v>354</v>
      </c>
      <c r="B356" s="8" t="s">
        <v>341</v>
      </c>
      <c r="C356" s="21" t="s">
        <v>1303</v>
      </c>
      <c r="D356" s="22" t="s">
        <v>50</v>
      </c>
      <c r="E356" s="15">
        <v>4472</v>
      </c>
      <c r="F356" s="23">
        <v>3037</v>
      </c>
      <c r="G356" s="24" t="s">
        <v>6</v>
      </c>
      <c r="H356" s="18">
        <v>1</v>
      </c>
      <c r="I356" s="19">
        <f>VLOOKUP(B356,[1]Лист2!$A:$J,10,0)</f>
        <v>2977.6549999999997</v>
      </c>
      <c r="J356" s="29">
        <v>3007.4315499999998</v>
      </c>
      <c r="K356" s="19">
        <f t="shared" si="5"/>
        <v>-1464.5684500000002</v>
      </c>
      <c r="L356" s="18"/>
      <c r="M356" s="18"/>
      <c r="N356" s="18"/>
      <c r="O356" s="26" t="s">
        <v>1036</v>
      </c>
    </row>
    <row r="357" spans="1:15" ht="15" x14ac:dyDescent="0.25">
      <c r="A357">
        <v>355</v>
      </c>
      <c r="B357" s="7" t="s">
        <v>342</v>
      </c>
      <c r="C357" s="13" t="s">
        <v>1304</v>
      </c>
      <c r="D357" s="14" t="s">
        <v>343</v>
      </c>
      <c r="E357" s="16">
        <v>9326</v>
      </c>
      <c r="F357" s="15">
        <v>11441</v>
      </c>
      <c r="G357" s="17" t="s">
        <v>6</v>
      </c>
      <c r="H357" s="18">
        <v>1</v>
      </c>
      <c r="I357" s="19">
        <f>VLOOKUP(B357,[1]Лист2!$A:$J,10,0)</f>
        <v>6937.3549999999996</v>
      </c>
      <c r="J357" s="19">
        <v>10983.359999999999</v>
      </c>
      <c r="K357" s="19">
        <f t="shared" si="5"/>
        <v>1657.3599999999988</v>
      </c>
      <c r="L357" s="18"/>
      <c r="M357" s="18"/>
      <c r="N357" s="18"/>
      <c r="O357" s="26" t="s">
        <v>1036</v>
      </c>
    </row>
    <row r="358" spans="1:15" ht="15" x14ac:dyDescent="0.25">
      <c r="A358">
        <v>356</v>
      </c>
      <c r="B358" s="8" t="s">
        <v>344</v>
      </c>
      <c r="C358" s="21" t="s">
        <v>1305</v>
      </c>
      <c r="D358" s="22" t="s">
        <v>50</v>
      </c>
      <c r="E358" s="23">
        <v>1307</v>
      </c>
      <c r="F358" s="15">
        <v>1611</v>
      </c>
      <c r="G358" s="24" t="s">
        <v>6</v>
      </c>
      <c r="H358" s="18">
        <v>1</v>
      </c>
      <c r="I358" s="19"/>
      <c r="J358" s="19">
        <v>1546.56</v>
      </c>
      <c r="K358" s="19">
        <f t="shared" si="5"/>
        <v>239.55999999999995</v>
      </c>
      <c r="L358" s="18"/>
      <c r="M358" s="18"/>
      <c r="N358" s="18"/>
      <c r="O358" s="26" t="s">
        <v>1036</v>
      </c>
    </row>
    <row r="359" spans="1:15" ht="15" x14ac:dyDescent="0.25">
      <c r="A359">
        <v>357</v>
      </c>
      <c r="B359" s="7" t="s">
        <v>345</v>
      </c>
      <c r="C359" s="13" t="s">
        <v>1306</v>
      </c>
      <c r="D359" s="14" t="s">
        <v>346</v>
      </c>
      <c r="E359" s="16">
        <v>2000</v>
      </c>
      <c r="F359" s="15">
        <v>2378.3200000000002</v>
      </c>
      <c r="G359" s="17" t="s">
        <v>78</v>
      </c>
      <c r="H359" s="18">
        <v>1</v>
      </c>
      <c r="I359" s="19"/>
      <c r="J359" s="19">
        <v>2283.1871999999998</v>
      </c>
      <c r="K359" s="19">
        <f t="shared" si="5"/>
        <v>283.18719999999985</v>
      </c>
      <c r="L359" s="18"/>
      <c r="M359" s="18"/>
      <c r="N359" s="18"/>
      <c r="O359" s="26" t="s">
        <v>1036</v>
      </c>
    </row>
    <row r="360" spans="1:15" ht="15" x14ac:dyDescent="0.25">
      <c r="A360">
        <v>358</v>
      </c>
      <c r="B360" s="8" t="s">
        <v>347</v>
      </c>
      <c r="C360" s="21" t="s">
        <v>1307</v>
      </c>
      <c r="D360" s="22" t="s">
        <v>64</v>
      </c>
      <c r="E360" s="23">
        <v>3187</v>
      </c>
      <c r="F360" s="15">
        <v>3915</v>
      </c>
      <c r="G360" s="24" t="s">
        <v>6</v>
      </c>
      <c r="H360" s="18">
        <v>1</v>
      </c>
      <c r="I360" s="19"/>
      <c r="J360" s="19">
        <v>3758.3999999999996</v>
      </c>
      <c r="K360" s="19">
        <f t="shared" si="5"/>
        <v>571.39999999999964</v>
      </c>
      <c r="L360" s="18"/>
      <c r="M360" s="18"/>
      <c r="N360" s="18"/>
      <c r="O360" s="26" t="s">
        <v>1036</v>
      </c>
    </row>
    <row r="361" spans="1:15" ht="15" x14ac:dyDescent="0.25">
      <c r="A361">
        <v>359</v>
      </c>
      <c r="B361" s="7" t="s">
        <v>348</v>
      </c>
      <c r="C361" s="13" t="s">
        <v>1308</v>
      </c>
      <c r="D361" s="14" t="s">
        <v>64</v>
      </c>
      <c r="E361" s="15">
        <v>3180</v>
      </c>
      <c r="F361" s="16">
        <v>1816</v>
      </c>
      <c r="G361" s="17" t="s">
        <v>6</v>
      </c>
      <c r="H361" s="18">
        <v>1</v>
      </c>
      <c r="I361" s="19">
        <f>VLOOKUP(B361,[1]Лист2!$A:$J,10,0)</f>
        <v>2050.77</v>
      </c>
      <c r="J361" s="29">
        <v>2071.2777000000001</v>
      </c>
      <c r="K361" s="19">
        <f t="shared" si="5"/>
        <v>-1108.7222999999999</v>
      </c>
      <c r="L361" s="18"/>
      <c r="M361" s="18"/>
      <c r="N361" s="18"/>
      <c r="O361" s="26" t="s">
        <v>1036</v>
      </c>
    </row>
    <row r="362" spans="1:15" ht="15" x14ac:dyDescent="0.25">
      <c r="A362">
        <v>360</v>
      </c>
      <c r="B362" s="8" t="s">
        <v>348</v>
      </c>
      <c r="C362" s="21" t="s">
        <v>1308</v>
      </c>
      <c r="D362" s="22" t="s">
        <v>64</v>
      </c>
      <c r="E362" s="15">
        <v>4442</v>
      </c>
      <c r="F362" s="23">
        <v>1816</v>
      </c>
      <c r="G362" s="24" t="s">
        <v>6</v>
      </c>
      <c r="H362" s="18">
        <v>1</v>
      </c>
      <c r="I362" s="19">
        <f>VLOOKUP(B362,[1]Лист2!$A:$J,10,0)</f>
        <v>2050.77</v>
      </c>
      <c r="J362" s="29">
        <v>2071.2777000000001</v>
      </c>
      <c r="K362" s="19">
        <f t="shared" si="5"/>
        <v>-2370.7222999999999</v>
      </c>
      <c r="L362" s="18"/>
      <c r="M362" s="18"/>
      <c r="N362" s="18"/>
      <c r="O362" s="26" t="s">
        <v>1036</v>
      </c>
    </row>
    <row r="363" spans="1:15" ht="15" x14ac:dyDescent="0.25">
      <c r="A363">
        <v>361</v>
      </c>
      <c r="B363" s="7" t="s">
        <v>349</v>
      </c>
      <c r="C363" s="13" t="s">
        <v>1309</v>
      </c>
      <c r="D363" s="14" t="s">
        <v>64</v>
      </c>
      <c r="E363" s="15">
        <v>41332</v>
      </c>
      <c r="F363" s="16">
        <v>22036</v>
      </c>
      <c r="G363" s="17" t="s">
        <v>6</v>
      </c>
      <c r="H363" s="18">
        <v>1</v>
      </c>
      <c r="I363" s="19"/>
      <c r="J363" s="19">
        <v>41745.32</v>
      </c>
      <c r="K363" s="19">
        <f t="shared" si="5"/>
        <v>413.31999999999971</v>
      </c>
      <c r="L363" s="18"/>
      <c r="M363" s="18"/>
      <c r="N363" s="18"/>
      <c r="O363" s="26" t="s">
        <v>1036</v>
      </c>
    </row>
    <row r="364" spans="1:15" ht="15" x14ac:dyDescent="0.25">
      <c r="A364">
        <v>362</v>
      </c>
      <c r="B364" s="8" t="s">
        <v>350</v>
      </c>
      <c r="C364" s="21" t="s">
        <v>1310</v>
      </c>
      <c r="D364" s="22" t="s">
        <v>351</v>
      </c>
      <c r="E364" s="23">
        <v>12686</v>
      </c>
      <c r="F364" s="15">
        <v>14014.08</v>
      </c>
      <c r="G364" s="24" t="s">
        <v>78</v>
      </c>
      <c r="H364" s="18">
        <v>1</v>
      </c>
      <c r="I364" s="19">
        <f>VLOOKUP(B364,[1]Лист2!$A:$J,10,0)</f>
        <v>11205.36</v>
      </c>
      <c r="J364" s="19">
        <v>13453.516799999999</v>
      </c>
      <c r="K364" s="19">
        <f t="shared" si="5"/>
        <v>767.51679999999942</v>
      </c>
      <c r="L364" s="18"/>
      <c r="M364" s="18"/>
      <c r="N364" s="18"/>
      <c r="O364" s="26" t="s">
        <v>1036</v>
      </c>
    </row>
    <row r="365" spans="1:15" ht="15" x14ac:dyDescent="0.25">
      <c r="A365">
        <v>363</v>
      </c>
      <c r="B365" s="7" t="s">
        <v>352</v>
      </c>
      <c r="C365" s="13" t="s">
        <v>1311</v>
      </c>
      <c r="D365" s="14" t="s">
        <v>16</v>
      </c>
      <c r="E365" s="16">
        <v>14336</v>
      </c>
      <c r="F365" s="15">
        <v>17584</v>
      </c>
      <c r="G365" s="17" t="s">
        <v>6</v>
      </c>
      <c r="H365" s="18">
        <v>1</v>
      </c>
      <c r="I365" s="19"/>
      <c r="J365" s="19">
        <v>16880.64</v>
      </c>
      <c r="K365" s="19">
        <f t="shared" si="5"/>
        <v>2544.6399999999994</v>
      </c>
      <c r="L365" s="18"/>
      <c r="M365" s="18"/>
      <c r="N365" s="18"/>
      <c r="O365" s="26" t="s">
        <v>1036</v>
      </c>
    </row>
    <row r="366" spans="1:15" ht="15" x14ac:dyDescent="0.25">
      <c r="A366">
        <v>364</v>
      </c>
      <c r="B366" s="8" t="s">
        <v>353</v>
      </c>
      <c r="C366" s="21" t="s">
        <v>1312</v>
      </c>
      <c r="D366" s="22" t="s">
        <v>354</v>
      </c>
      <c r="E366" s="15">
        <v>3309</v>
      </c>
      <c r="F366" s="23">
        <v>2852.88</v>
      </c>
      <c r="G366" s="24" t="s">
        <v>78</v>
      </c>
      <c r="H366" s="18">
        <v>1</v>
      </c>
      <c r="I366" s="19">
        <f>VLOOKUP(B366,[1]Лист2!$A:$J,10,0)</f>
        <v>1418.4</v>
      </c>
      <c r="J366" s="19">
        <v>2738.7647999999999</v>
      </c>
      <c r="K366" s="19">
        <f t="shared" si="5"/>
        <v>-570.23520000000008</v>
      </c>
      <c r="L366" s="18"/>
      <c r="M366" s="18"/>
      <c r="N366" s="18"/>
      <c r="O366" s="26" t="s">
        <v>1036</v>
      </c>
    </row>
    <row r="367" spans="1:15" ht="15" x14ac:dyDescent="0.25">
      <c r="A367">
        <v>365</v>
      </c>
      <c r="B367" s="7" t="s">
        <v>355</v>
      </c>
      <c r="C367" s="13" t="s">
        <v>1313</v>
      </c>
      <c r="D367" s="14" t="s">
        <v>354</v>
      </c>
      <c r="E367" s="16">
        <v>3421</v>
      </c>
      <c r="F367" s="15">
        <v>5040</v>
      </c>
      <c r="G367" s="17" t="s">
        <v>6</v>
      </c>
      <c r="H367" s="18">
        <v>1</v>
      </c>
      <c r="I367" s="19">
        <f>VLOOKUP(B367,[1]Лист2!$A:$J,10,0)</f>
        <v>1945.375</v>
      </c>
      <c r="J367" s="19">
        <v>4838.3999999999996</v>
      </c>
      <c r="K367" s="19">
        <f t="shared" si="5"/>
        <v>1417.3999999999996</v>
      </c>
      <c r="L367" s="18"/>
      <c r="M367" s="18"/>
      <c r="N367" s="18"/>
      <c r="O367" s="26" t="s">
        <v>1036</v>
      </c>
    </row>
    <row r="368" spans="1:15" ht="15" x14ac:dyDescent="0.25">
      <c r="A368">
        <v>366</v>
      </c>
      <c r="B368" s="8" t="s">
        <v>30</v>
      </c>
      <c r="C368" s="21" t="s">
        <v>1053</v>
      </c>
      <c r="D368" s="22" t="s">
        <v>24</v>
      </c>
      <c r="E368" s="15">
        <v>3261</v>
      </c>
      <c r="F368" s="23">
        <v>2026</v>
      </c>
      <c r="G368" s="24" t="s">
        <v>6</v>
      </c>
      <c r="H368" s="18">
        <v>5</v>
      </c>
      <c r="I368" s="19">
        <f>VLOOKUP(B368,[1]Лист2!$A:$J,10,0)</f>
        <v>2448.71</v>
      </c>
      <c r="J368" s="29">
        <v>2473.1970999999999</v>
      </c>
      <c r="K368" s="19">
        <f t="shared" si="5"/>
        <v>-787.80290000000014</v>
      </c>
      <c r="L368" s="18"/>
      <c r="M368" s="18"/>
      <c r="N368" s="18"/>
      <c r="O368" s="26" t="s">
        <v>1036</v>
      </c>
    </row>
    <row r="369" spans="1:15" ht="15" x14ac:dyDescent="0.25">
      <c r="A369">
        <v>367</v>
      </c>
      <c r="B369" s="7" t="s">
        <v>356</v>
      </c>
      <c r="C369" s="13" t="s">
        <v>1314</v>
      </c>
      <c r="D369" s="14" t="s">
        <v>267</v>
      </c>
      <c r="E369" s="15">
        <v>10545</v>
      </c>
      <c r="F369" s="16">
        <v>10198</v>
      </c>
      <c r="G369" s="17" t="s">
        <v>6</v>
      </c>
      <c r="H369" s="18">
        <v>1</v>
      </c>
      <c r="I369" s="19"/>
      <c r="J369" s="19">
        <v>10650.45</v>
      </c>
      <c r="K369" s="19">
        <f t="shared" si="5"/>
        <v>105.45000000000073</v>
      </c>
      <c r="L369" s="18"/>
      <c r="M369" s="18"/>
      <c r="N369" s="18"/>
      <c r="O369" s="26" t="s">
        <v>1036</v>
      </c>
    </row>
    <row r="370" spans="1:15" ht="15" x14ac:dyDescent="0.25">
      <c r="A370">
        <v>368</v>
      </c>
      <c r="B370" s="8" t="s">
        <v>357</v>
      </c>
      <c r="C370" s="21" t="s">
        <v>1315</v>
      </c>
      <c r="D370" s="22" t="s">
        <v>267</v>
      </c>
      <c r="E370" s="15">
        <v>10545</v>
      </c>
      <c r="F370" s="23">
        <v>6438</v>
      </c>
      <c r="G370" s="24" t="s">
        <v>6</v>
      </c>
      <c r="H370" s="18">
        <v>1</v>
      </c>
      <c r="I370" s="19"/>
      <c r="J370" s="19">
        <v>10650.45</v>
      </c>
      <c r="K370" s="19">
        <f t="shared" si="5"/>
        <v>105.45000000000073</v>
      </c>
      <c r="L370" s="18"/>
      <c r="M370" s="18"/>
      <c r="N370" s="18"/>
      <c r="O370" s="26" t="s">
        <v>1036</v>
      </c>
    </row>
    <row r="371" spans="1:15" ht="15" x14ac:dyDescent="0.25">
      <c r="A371">
        <v>369</v>
      </c>
      <c r="B371" s="7" t="s">
        <v>358</v>
      </c>
      <c r="C371" s="13" t="s">
        <v>1316</v>
      </c>
      <c r="D371" s="14" t="s">
        <v>267</v>
      </c>
      <c r="E371" s="15">
        <v>10241</v>
      </c>
      <c r="F371" s="16">
        <v>9268</v>
      </c>
      <c r="G371" s="17" t="s">
        <v>6</v>
      </c>
      <c r="H371" s="18">
        <v>1</v>
      </c>
      <c r="I371" s="19"/>
      <c r="J371" s="19">
        <v>10343.41</v>
      </c>
      <c r="K371" s="19">
        <f t="shared" si="5"/>
        <v>102.40999999999985</v>
      </c>
      <c r="L371" s="18"/>
      <c r="M371" s="18"/>
      <c r="N371" s="18"/>
      <c r="O371" s="26" t="s">
        <v>1036</v>
      </c>
    </row>
    <row r="372" spans="1:15" ht="15" x14ac:dyDescent="0.25">
      <c r="A372">
        <v>370</v>
      </c>
      <c r="B372" s="8" t="s">
        <v>359</v>
      </c>
      <c r="C372" s="21" t="s">
        <v>1317</v>
      </c>
      <c r="D372" s="22" t="s">
        <v>267</v>
      </c>
      <c r="E372" s="15">
        <v>9149</v>
      </c>
      <c r="F372" s="23">
        <v>7250</v>
      </c>
      <c r="G372" s="24" t="s">
        <v>6</v>
      </c>
      <c r="H372" s="18">
        <v>1</v>
      </c>
      <c r="I372" s="19"/>
      <c r="J372" s="19">
        <v>9240.49</v>
      </c>
      <c r="K372" s="19">
        <f t="shared" si="5"/>
        <v>91.489999999999782</v>
      </c>
      <c r="L372" s="18"/>
      <c r="M372" s="18"/>
      <c r="N372" s="18"/>
      <c r="O372" s="26" t="s">
        <v>1036</v>
      </c>
    </row>
    <row r="373" spans="1:15" ht="15" x14ac:dyDescent="0.25">
      <c r="A373">
        <v>371</v>
      </c>
      <c r="B373" s="7" t="s">
        <v>360</v>
      </c>
      <c r="C373" s="13" t="s">
        <v>1318</v>
      </c>
      <c r="D373" s="14" t="s">
        <v>16</v>
      </c>
      <c r="E373" s="15">
        <v>6668</v>
      </c>
      <c r="F373" s="16">
        <v>5682</v>
      </c>
      <c r="G373" s="17" t="s">
        <v>6</v>
      </c>
      <c r="H373" s="18">
        <v>1</v>
      </c>
      <c r="I373" s="19">
        <f>VLOOKUP(B373,[1]Лист2!$A:$J,10,0)</f>
        <v>5846.96</v>
      </c>
      <c r="J373" s="29">
        <v>5905.4296000000004</v>
      </c>
      <c r="K373" s="19">
        <f t="shared" si="5"/>
        <v>-762.57039999999961</v>
      </c>
      <c r="L373" s="18"/>
      <c r="M373" s="18"/>
      <c r="N373" s="18"/>
      <c r="O373" s="26" t="s">
        <v>1036</v>
      </c>
    </row>
    <row r="374" spans="1:15" ht="15" x14ac:dyDescent="0.25">
      <c r="A374">
        <v>372</v>
      </c>
      <c r="B374" s="8" t="s">
        <v>360</v>
      </c>
      <c r="C374" s="21" t="s">
        <v>1318</v>
      </c>
      <c r="D374" s="22" t="s">
        <v>16</v>
      </c>
      <c r="E374" s="15">
        <v>6668</v>
      </c>
      <c r="F374" s="23">
        <v>5682</v>
      </c>
      <c r="G374" s="24" t="s">
        <v>6</v>
      </c>
      <c r="H374" s="18">
        <v>1</v>
      </c>
      <c r="I374" s="19">
        <f>VLOOKUP(B374,[1]Лист2!$A:$J,10,0)</f>
        <v>5846.96</v>
      </c>
      <c r="J374" s="29">
        <v>5905.4296000000004</v>
      </c>
      <c r="K374" s="19">
        <f t="shared" si="5"/>
        <v>-762.57039999999961</v>
      </c>
      <c r="L374" s="18"/>
      <c r="M374" s="18"/>
      <c r="N374" s="18"/>
      <c r="O374" s="26" t="s">
        <v>1036</v>
      </c>
    </row>
    <row r="375" spans="1:15" ht="15" x14ac:dyDescent="0.25">
      <c r="A375">
        <v>373</v>
      </c>
      <c r="B375" s="7" t="s">
        <v>361</v>
      </c>
      <c r="C375" s="13" t="s">
        <v>1319</v>
      </c>
      <c r="D375" s="14" t="s">
        <v>24</v>
      </c>
      <c r="E375" s="15">
        <v>1887</v>
      </c>
      <c r="F375" s="16">
        <v>1111</v>
      </c>
      <c r="G375" s="17" t="s">
        <v>6</v>
      </c>
      <c r="H375" s="18">
        <v>1</v>
      </c>
      <c r="I375" s="19"/>
      <c r="J375" s="19">
        <v>1905.8700000000001</v>
      </c>
      <c r="K375" s="19">
        <f t="shared" si="5"/>
        <v>18.870000000000118</v>
      </c>
      <c r="L375" s="18"/>
      <c r="M375" s="18"/>
      <c r="N375" s="18"/>
      <c r="O375" s="26" t="s">
        <v>1036</v>
      </c>
    </row>
    <row r="376" spans="1:15" ht="15" x14ac:dyDescent="0.25">
      <c r="A376">
        <v>374</v>
      </c>
      <c r="B376" s="8" t="s">
        <v>361</v>
      </c>
      <c r="C376" s="21" t="s">
        <v>1319</v>
      </c>
      <c r="D376" s="22" t="s">
        <v>24</v>
      </c>
      <c r="E376" s="15">
        <v>1887</v>
      </c>
      <c r="F376" s="23">
        <v>1111</v>
      </c>
      <c r="G376" s="24" t="s">
        <v>6</v>
      </c>
      <c r="H376" s="18">
        <v>1</v>
      </c>
      <c r="I376" s="19"/>
      <c r="J376" s="19">
        <v>1905.8700000000001</v>
      </c>
      <c r="K376" s="19">
        <f t="shared" si="5"/>
        <v>18.870000000000118</v>
      </c>
      <c r="L376" s="18"/>
      <c r="M376" s="18"/>
      <c r="N376" s="18"/>
      <c r="O376" s="26" t="s">
        <v>1036</v>
      </c>
    </row>
    <row r="377" spans="1:15" ht="15" x14ac:dyDescent="0.25">
      <c r="A377">
        <v>375</v>
      </c>
      <c r="B377" s="7" t="s">
        <v>361</v>
      </c>
      <c r="C377" s="13" t="s">
        <v>1319</v>
      </c>
      <c r="D377" s="14" t="s">
        <v>24</v>
      </c>
      <c r="E377" s="15">
        <v>1887</v>
      </c>
      <c r="F377" s="16">
        <v>1111</v>
      </c>
      <c r="G377" s="17" t="s">
        <v>6</v>
      </c>
      <c r="H377" s="18">
        <v>1</v>
      </c>
      <c r="I377" s="19"/>
      <c r="J377" s="19">
        <v>1905.8700000000001</v>
      </c>
      <c r="K377" s="19">
        <f t="shared" si="5"/>
        <v>18.870000000000118</v>
      </c>
      <c r="L377" s="18"/>
      <c r="M377" s="18"/>
      <c r="N377" s="18"/>
      <c r="O377" s="26" t="s">
        <v>1036</v>
      </c>
    </row>
    <row r="378" spans="1:15" ht="15" x14ac:dyDescent="0.25">
      <c r="A378">
        <v>376</v>
      </c>
      <c r="B378" s="8" t="s">
        <v>362</v>
      </c>
      <c r="C378" s="21" t="s">
        <v>1320</v>
      </c>
      <c r="D378" s="22" t="s">
        <v>8</v>
      </c>
      <c r="E378" s="15">
        <v>50731</v>
      </c>
      <c r="F378" s="23">
        <v>9650</v>
      </c>
      <c r="G378" s="24" t="s">
        <v>6</v>
      </c>
      <c r="H378" s="18">
        <v>1</v>
      </c>
      <c r="I378" s="19">
        <f>VLOOKUP(B378,[1]Лист2!$A:$J,10,0)</f>
        <v>12638.535</v>
      </c>
      <c r="J378" s="29">
        <v>22671</v>
      </c>
      <c r="K378" s="19">
        <f t="shared" si="5"/>
        <v>-28060</v>
      </c>
      <c r="L378" s="18"/>
      <c r="M378" s="18"/>
      <c r="N378" s="18"/>
      <c r="O378" s="26" t="s">
        <v>1036</v>
      </c>
    </row>
    <row r="379" spans="1:15" ht="15" x14ac:dyDescent="0.25">
      <c r="A379">
        <v>377</v>
      </c>
      <c r="B379" s="7" t="s">
        <v>363</v>
      </c>
      <c r="C379" s="13" t="s">
        <v>1321</v>
      </c>
      <c r="D379" s="14" t="s">
        <v>8</v>
      </c>
      <c r="E379" s="15">
        <v>18678</v>
      </c>
      <c r="F379" s="16">
        <v>2378</v>
      </c>
      <c r="G379" s="17" t="s">
        <v>6</v>
      </c>
      <c r="H379" s="18">
        <v>1</v>
      </c>
      <c r="I379" s="19">
        <f>VLOOKUP(B379,[1]Лист2!$A:$J,10,0)</f>
        <v>2783.61</v>
      </c>
      <c r="J379" s="29">
        <v>9350</v>
      </c>
      <c r="K379" s="19">
        <f t="shared" si="5"/>
        <v>-9328</v>
      </c>
      <c r="L379" s="18"/>
      <c r="M379" s="18"/>
      <c r="N379" s="18"/>
      <c r="O379" s="26" t="s">
        <v>1036</v>
      </c>
    </row>
    <row r="380" spans="1:15" ht="15" x14ac:dyDescent="0.25">
      <c r="A380">
        <v>378</v>
      </c>
      <c r="B380" s="8" t="s">
        <v>364</v>
      </c>
      <c r="C380" s="21" t="s">
        <v>1322</v>
      </c>
      <c r="D380" s="22" t="s">
        <v>8</v>
      </c>
      <c r="E380" s="15">
        <v>1935</v>
      </c>
      <c r="F380" s="23">
        <v>359</v>
      </c>
      <c r="G380" s="24" t="s">
        <v>6</v>
      </c>
      <c r="H380" s="18">
        <v>1</v>
      </c>
      <c r="I380" s="19">
        <f>VLOOKUP(B380,[1]Лист2!$A:$J,10,0)</f>
        <v>369.375</v>
      </c>
      <c r="J380" s="29">
        <v>373.06875000000002</v>
      </c>
      <c r="K380" s="19">
        <f t="shared" si="5"/>
        <v>-1561.9312500000001</v>
      </c>
      <c r="L380" s="18"/>
      <c r="M380" s="18"/>
      <c r="N380" s="18"/>
      <c r="O380" s="26" t="s">
        <v>1036</v>
      </c>
    </row>
    <row r="381" spans="1:15" ht="15" x14ac:dyDescent="0.25">
      <c r="A381">
        <v>379</v>
      </c>
      <c r="B381" s="7" t="s">
        <v>365</v>
      </c>
      <c r="C381" s="13" t="s">
        <v>1323</v>
      </c>
      <c r="D381" s="14" t="s">
        <v>8</v>
      </c>
      <c r="E381" s="16">
        <v>8641</v>
      </c>
      <c r="F381" s="15">
        <v>10141</v>
      </c>
      <c r="G381" s="17" t="s">
        <v>6</v>
      </c>
      <c r="H381" s="18">
        <v>1</v>
      </c>
      <c r="I381" s="19"/>
      <c r="J381" s="19">
        <v>9735.3599999999988</v>
      </c>
      <c r="K381" s="19">
        <f t="shared" si="5"/>
        <v>1094.3599999999988</v>
      </c>
      <c r="L381" s="18"/>
      <c r="M381" s="18"/>
      <c r="N381" s="18"/>
      <c r="O381" s="26" t="s">
        <v>1036</v>
      </c>
    </row>
    <row r="382" spans="1:15" ht="15" x14ac:dyDescent="0.25">
      <c r="A382">
        <v>380</v>
      </c>
      <c r="B382" s="8" t="s">
        <v>366</v>
      </c>
      <c r="C382" s="21" t="s">
        <v>1324</v>
      </c>
      <c r="D382" s="22" t="s">
        <v>8</v>
      </c>
      <c r="E382" s="23">
        <v>3871</v>
      </c>
      <c r="F382" s="15">
        <v>4548</v>
      </c>
      <c r="G382" s="24" t="s">
        <v>6</v>
      </c>
      <c r="H382" s="18">
        <v>1</v>
      </c>
      <c r="I382" s="19"/>
      <c r="J382" s="19">
        <v>4366.08</v>
      </c>
      <c r="K382" s="19">
        <f t="shared" si="5"/>
        <v>495.07999999999993</v>
      </c>
      <c r="L382" s="18"/>
      <c r="M382" s="18"/>
      <c r="N382" s="18"/>
      <c r="O382" s="26" t="s">
        <v>1036</v>
      </c>
    </row>
    <row r="383" spans="1:15" ht="15" x14ac:dyDescent="0.25">
      <c r="A383">
        <v>381</v>
      </c>
      <c r="B383" s="7" t="s">
        <v>367</v>
      </c>
      <c r="C383" s="13" t="s">
        <v>1325</v>
      </c>
      <c r="D383" s="14" t="s">
        <v>8</v>
      </c>
      <c r="E383" s="16">
        <v>6633</v>
      </c>
      <c r="F383" s="15">
        <v>7787</v>
      </c>
      <c r="G383" s="17" t="s">
        <v>6</v>
      </c>
      <c r="H383" s="18">
        <v>1</v>
      </c>
      <c r="I383" s="19"/>
      <c r="J383" s="19">
        <v>7475.5199999999995</v>
      </c>
      <c r="K383" s="19">
        <f t="shared" si="5"/>
        <v>842.51999999999953</v>
      </c>
      <c r="L383" s="18"/>
      <c r="M383" s="18"/>
      <c r="N383" s="18"/>
      <c r="O383" s="26" t="s">
        <v>1036</v>
      </c>
    </row>
    <row r="384" spans="1:15" ht="15" x14ac:dyDescent="0.25">
      <c r="A384">
        <v>382</v>
      </c>
      <c r="B384" s="8" t="s">
        <v>368</v>
      </c>
      <c r="C384" s="21" t="s">
        <v>1326</v>
      </c>
      <c r="D384" s="22" t="s">
        <v>8</v>
      </c>
      <c r="E384" s="23">
        <v>6633</v>
      </c>
      <c r="F384" s="15">
        <v>7787</v>
      </c>
      <c r="G384" s="24" t="s">
        <v>6</v>
      </c>
      <c r="H384" s="18">
        <v>1</v>
      </c>
      <c r="I384" s="19"/>
      <c r="J384" s="19">
        <v>7475.5199999999995</v>
      </c>
      <c r="K384" s="19">
        <f t="shared" si="5"/>
        <v>842.51999999999953</v>
      </c>
      <c r="L384" s="18"/>
      <c r="M384" s="18"/>
      <c r="N384" s="18"/>
      <c r="O384" s="26" t="s">
        <v>1036</v>
      </c>
    </row>
    <row r="385" spans="1:15" ht="15" x14ac:dyDescent="0.25">
      <c r="A385">
        <v>383</v>
      </c>
      <c r="B385" s="7" t="s">
        <v>369</v>
      </c>
      <c r="C385" s="13" t="s">
        <v>1327</v>
      </c>
      <c r="D385" s="14" t="s">
        <v>8</v>
      </c>
      <c r="E385" s="15">
        <v>6633</v>
      </c>
      <c r="F385" s="16">
        <v>2241</v>
      </c>
      <c r="G385" s="17" t="s">
        <v>6</v>
      </c>
      <c r="H385" s="18">
        <v>1</v>
      </c>
      <c r="I385" s="19">
        <f>VLOOKUP(B385,[1]Лист2!$A:$J,10,0)</f>
        <v>2296.0349999999999</v>
      </c>
      <c r="J385" s="29">
        <v>2318.9953499999997</v>
      </c>
      <c r="K385" s="19">
        <f t="shared" si="5"/>
        <v>-4314.0046500000008</v>
      </c>
      <c r="L385" s="18"/>
      <c r="M385" s="18"/>
      <c r="N385" s="18"/>
      <c r="O385" s="26" t="s">
        <v>1036</v>
      </c>
    </row>
    <row r="386" spans="1:15" ht="15" x14ac:dyDescent="0.25">
      <c r="A386">
        <v>384</v>
      </c>
      <c r="B386" s="8" t="s">
        <v>370</v>
      </c>
      <c r="C386" s="21" t="s">
        <v>1328</v>
      </c>
      <c r="D386" s="22" t="s">
        <v>8</v>
      </c>
      <c r="E386" s="23">
        <v>2002</v>
      </c>
      <c r="F386" s="15">
        <v>2356</v>
      </c>
      <c r="G386" s="24" t="s">
        <v>6</v>
      </c>
      <c r="H386" s="18">
        <v>1</v>
      </c>
      <c r="I386" s="19"/>
      <c r="J386" s="19">
        <v>2261.7599999999998</v>
      </c>
      <c r="K386" s="19">
        <f t="shared" si="5"/>
        <v>259.75999999999976</v>
      </c>
      <c r="L386" s="18"/>
      <c r="M386" s="18"/>
      <c r="N386" s="18"/>
      <c r="O386" s="26" t="s">
        <v>1036</v>
      </c>
    </row>
    <row r="387" spans="1:15" ht="15" x14ac:dyDescent="0.25">
      <c r="A387">
        <v>385</v>
      </c>
      <c r="B387" s="7" t="s">
        <v>371</v>
      </c>
      <c r="C387" s="13" t="s">
        <v>1329</v>
      </c>
      <c r="D387" s="14" t="s">
        <v>8</v>
      </c>
      <c r="E387" s="16">
        <v>2002</v>
      </c>
      <c r="F387" s="15">
        <v>2356</v>
      </c>
      <c r="G387" s="17" t="s">
        <v>6</v>
      </c>
      <c r="H387" s="18">
        <v>1</v>
      </c>
      <c r="I387" s="19"/>
      <c r="J387" s="19">
        <v>2261.7599999999998</v>
      </c>
      <c r="K387" s="19">
        <f t="shared" ref="K387:K450" si="6">J387-E387</f>
        <v>259.75999999999976</v>
      </c>
      <c r="L387" s="18"/>
      <c r="M387" s="18"/>
      <c r="N387" s="18"/>
      <c r="O387" s="26" t="s">
        <v>1036</v>
      </c>
    </row>
    <row r="388" spans="1:15" ht="15" x14ac:dyDescent="0.25">
      <c r="A388">
        <v>386</v>
      </c>
      <c r="B388" s="8" t="s">
        <v>372</v>
      </c>
      <c r="C388" s="21" t="s">
        <v>1330</v>
      </c>
      <c r="D388" s="22" t="s">
        <v>8</v>
      </c>
      <c r="E388" s="23">
        <v>2112</v>
      </c>
      <c r="F388" s="15">
        <v>2485</v>
      </c>
      <c r="G388" s="24" t="s">
        <v>6</v>
      </c>
      <c r="H388" s="18">
        <v>1</v>
      </c>
      <c r="I388" s="19"/>
      <c r="J388" s="19">
        <v>2385.6</v>
      </c>
      <c r="K388" s="19">
        <f t="shared" si="6"/>
        <v>273.59999999999991</v>
      </c>
      <c r="L388" s="18"/>
      <c r="M388" s="18"/>
      <c r="N388" s="18"/>
      <c r="O388" s="26" t="s">
        <v>1036</v>
      </c>
    </row>
    <row r="389" spans="1:15" ht="15" x14ac:dyDescent="0.25">
      <c r="A389">
        <v>387</v>
      </c>
      <c r="B389" s="7" t="s">
        <v>373</v>
      </c>
      <c r="C389" s="13" t="s">
        <v>1331</v>
      </c>
      <c r="D389" s="14" t="s">
        <v>374</v>
      </c>
      <c r="E389" s="16">
        <v>17488</v>
      </c>
      <c r="F389" s="15">
        <v>21448</v>
      </c>
      <c r="G389" s="17" t="s">
        <v>6</v>
      </c>
      <c r="H389" s="18">
        <v>1</v>
      </c>
      <c r="I389" s="19"/>
      <c r="J389" s="19">
        <v>19590.080000000002</v>
      </c>
      <c r="K389" s="19">
        <f t="shared" si="6"/>
        <v>2102.0800000000017</v>
      </c>
      <c r="L389" s="18"/>
      <c r="M389" s="18"/>
      <c r="N389" s="18"/>
      <c r="O389" s="26" t="s">
        <v>1036</v>
      </c>
    </row>
    <row r="390" spans="1:15" ht="15" x14ac:dyDescent="0.25">
      <c r="A390">
        <v>388</v>
      </c>
      <c r="B390" s="8" t="s">
        <v>375</v>
      </c>
      <c r="C390" s="21" t="s">
        <v>1092</v>
      </c>
      <c r="D390" s="22" t="s">
        <v>374</v>
      </c>
      <c r="E390" s="15">
        <v>8142</v>
      </c>
      <c r="F390" s="23">
        <v>7757</v>
      </c>
      <c r="G390" s="24" t="s">
        <v>6</v>
      </c>
      <c r="H390" s="18">
        <v>1</v>
      </c>
      <c r="I390" s="19"/>
      <c r="J390" s="19">
        <v>8223.42</v>
      </c>
      <c r="K390" s="19">
        <f t="shared" si="6"/>
        <v>81.420000000000073</v>
      </c>
      <c r="L390" s="18"/>
      <c r="M390" s="18"/>
      <c r="N390" s="18"/>
      <c r="O390" s="26" t="s">
        <v>1036</v>
      </c>
    </row>
    <row r="391" spans="1:15" ht="15" x14ac:dyDescent="0.25">
      <c r="A391">
        <v>389</v>
      </c>
      <c r="B391" s="7" t="s">
        <v>376</v>
      </c>
      <c r="C391" s="13" t="s">
        <v>1332</v>
      </c>
      <c r="D391" s="14" t="s">
        <v>374</v>
      </c>
      <c r="E391" s="16">
        <v>5793</v>
      </c>
      <c r="F391" s="15">
        <v>8530</v>
      </c>
      <c r="G391" s="17" t="s">
        <v>6</v>
      </c>
      <c r="H391" s="18">
        <v>1</v>
      </c>
      <c r="I391" s="19"/>
      <c r="J391" s="19">
        <v>8188.7999999999993</v>
      </c>
      <c r="K391" s="19">
        <f t="shared" si="6"/>
        <v>2395.7999999999993</v>
      </c>
      <c r="L391" s="18"/>
      <c r="M391" s="18"/>
      <c r="N391" s="18"/>
      <c r="O391" s="26" t="s">
        <v>1036</v>
      </c>
    </row>
    <row r="392" spans="1:15" ht="15" x14ac:dyDescent="0.25">
      <c r="A392">
        <v>390</v>
      </c>
      <c r="B392" s="8" t="s">
        <v>377</v>
      </c>
      <c r="C392" s="21" t="s">
        <v>1333</v>
      </c>
      <c r="D392" s="22" t="s">
        <v>374</v>
      </c>
      <c r="E392" s="23">
        <v>16834</v>
      </c>
      <c r="F392" s="15">
        <v>20645</v>
      </c>
      <c r="G392" s="24" t="s">
        <v>6</v>
      </c>
      <c r="H392" s="18">
        <v>1</v>
      </c>
      <c r="I392" s="19"/>
      <c r="J392" s="19">
        <v>19819.2</v>
      </c>
      <c r="K392" s="19">
        <f t="shared" si="6"/>
        <v>2985.2000000000007</v>
      </c>
      <c r="L392" s="18"/>
      <c r="M392" s="18"/>
      <c r="N392" s="18"/>
      <c r="O392" s="26" t="s">
        <v>1036</v>
      </c>
    </row>
    <row r="393" spans="1:15" ht="15" x14ac:dyDescent="0.25">
      <c r="A393">
        <v>391</v>
      </c>
      <c r="B393" s="7" t="s">
        <v>378</v>
      </c>
      <c r="C393" s="13" t="s">
        <v>1334</v>
      </c>
      <c r="D393" s="14" t="s">
        <v>374</v>
      </c>
      <c r="E393" s="16">
        <v>10727</v>
      </c>
      <c r="F393" s="15">
        <v>15789</v>
      </c>
      <c r="G393" s="17" t="s">
        <v>6</v>
      </c>
      <c r="H393" s="18">
        <v>1</v>
      </c>
      <c r="I393" s="19"/>
      <c r="J393" s="19">
        <v>12895</v>
      </c>
      <c r="K393" s="19">
        <f t="shared" si="6"/>
        <v>2168</v>
      </c>
      <c r="L393" s="18"/>
      <c r="M393" s="18"/>
      <c r="N393" s="18"/>
      <c r="O393" s="26" t="s">
        <v>1036</v>
      </c>
    </row>
    <row r="394" spans="1:15" ht="15" x14ac:dyDescent="0.25">
      <c r="A394">
        <v>392</v>
      </c>
      <c r="B394" s="8" t="s">
        <v>379</v>
      </c>
      <c r="C394" s="21" t="s">
        <v>1050</v>
      </c>
      <c r="D394" s="22" t="s">
        <v>374</v>
      </c>
      <c r="E394" s="23">
        <v>44810</v>
      </c>
      <c r="F394" s="15">
        <v>54941</v>
      </c>
      <c r="G394" s="24" t="s">
        <v>6</v>
      </c>
      <c r="H394" s="18">
        <v>1</v>
      </c>
      <c r="I394" s="19"/>
      <c r="J394" s="19">
        <v>48743.360000000001</v>
      </c>
      <c r="K394" s="19">
        <f t="shared" si="6"/>
        <v>3933.3600000000006</v>
      </c>
      <c r="L394" s="18"/>
      <c r="M394" s="18"/>
      <c r="N394" s="18"/>
      <c r="O394" s="26" t="s">
        <v>1036</v>
      </c>
    </row>
    <row r="395" spans="1:15" ht="15" x14ac:dyDescent="0.25">
      <c r="A395">
        <v>393</v>
      </c>
      <c r="B395" s="7" t="s">
        <v>380</v>
      </c>
      <c r="C395" s="13" t="s">
        <v>1320</v>
      </c>
      <c r="D395" s="14" t="s">
        <v>267</v>
      </c>
      <c r="E395" s="15">
        <v>269332</v>
      </c>
      <c r="F395" s="16">
        <v>224991</v>
      </c>
      <c r="G395" s="17" t="s">
        <v>6</v>
      </c>
      <c r="H395" s="18">
        <v>1</v>
      </c>
      <c r="I395" s="19"/>
      <c r="J395" s="19">
        <v>272025.32</v>
      </c>
      <c r="K395" s="19">
        <f t="shared" si="6"/>
        <v>2693.320000000007</v>
      </c>
      <c r="L395" s="18"/>
      <c r="M395" s="18"/>
      <c r="N395" s="18"/>
      <c r="O395" s="26" t="s">
        <v>1036</v>
      </c>
    </row>
    <row r="396" spans="1:15" ht="15" x14ac:dyDescent="0.25">
      <c r="A396">
        <v>394</v>
      </c>
      <c r="B396" s="8" t="s">
        <v>381</v>
      </c>
      <c r="C396" s="21" t="s">
        <v>1250</v>
      </c>
      <c r="D396" s="22" t="s">
        <v>267</v>
      </c>
      <c r="E396" s="15">
        <v>269332</v>
      </c>
      <c r="F396" s="23">
        <v>78358</v>
      </c>
      <c r="G396" s="24" t="s">
        <v>6</v>
      </c>
      <c r="H396" s="18">
        <v>1</v>
      </c>
      <c r="I396" s="19"/>
      <c r="J396" s="19">
        <v>272025.32</v>
      </c>
      <c r="K396" s="19">
        <f t="shared" si="6"/>
        <v>2693.320000000007</v>
      </c>
      <c r="L396" s="18"/>
      <c r="M396" s="18"/>
      <c r="N396" s="18"/>
      <c r="O396" s="26" t="s">
        <v>1036</v>
      </c>
    </row>
    <row r="397" spans="1:15" ht="15" x14ac:dyDescent="0.25">
      <c r="A397">
        <v>395</v>
      </c>
      <c r="B397" s="7" t="s">
        <v>382</v>
      </c>
      <c r="C397" s="13" t="s">
        <v>1335</v>
      </c>
      <c r="D397" s="14" t="s">
        <v>267</v>
      </c>
      <c r="E397" s="15">
        <v>78036</v>
      </c>
      <c r="F397" s="16">
        <v>23475</v>
      </c>
      <c r="G397" s="17" t="s">
        <v>6</v>
      </c>
      <c r="H397" s="18">
        <v>1</v>
      </c>
      <c r="I397" s="19"/>
      <c r="J397" s="19">
        <v>78816.36</v>
      </c>
      <c r="K397" s="19">
        <f t="shared" si="6"/>
        <v>780.36000000000058</v>
      </c>
      <c r="L397" s="18"/>
      <c r="M397" s="18"/>
      <c r="N397" s="18"/>
      <c r="O397" s="26" t="s">
        <v>1036</v>
      </c>
    </row>
    <row r="398" spans="1:15" ht="15" x14ac:dyDescent="0.25">
      <c r="A398">
        <v>396</v>
      </c>
      <c r="B398" s="8" t="s">
        <v>383</v>
      </c>
      <c r="C398" s="21" t="s">
        <v>1336</v>
      </c>
      <c r="D398" s="22" t="s">
        <v>267</v>
      </c>
      <c r="E398" s="15">
        <v>78036</v>
      </c>
      <c r="F398" s="23">
        <v>31298</v>
      </c>
      <c r="G398" s="24" t="s">
        <v>6</v>
      </c>
      <c r="H398" s="18">
        <v>1</v>
      </c>
      <c r="I398" s="19"/>
      <c r="J398" s="19">
        <v>78816.36</v>
      </c>
      <c r="K398" s="19">
        <f t="shared" si="6"/>
        <v>780.36000000000058</v>
      </c>
      <c r="L398" s="18"/>
      <c r="M398" s="18"/>
      <c r="N398" s="18"/>
      <c r="O398" s="26" t="s">
        <v>1036</v>
      </c>
    </row>
    <row r="399" spans="1:15" ht="15" x14ac:dyDescent="0.25">
      <c r="A399">
        <v>397</v>
      </c>
      <c r="B399" s="7" t="s">
        <v>384</v>
      </c>
      <c r="C399" s="13" t="s">
        <v>1337</v>
      </c>
      <c r="D399" s="14" t="s">
        <v>267</v>
      </c>
      <c r="E399" s="15">
        <v>4297</v>
      </c>
      <c r="F399" s="16">
        <v>3475</v>
      </c>
      <c r="G399" s="17" t="s">
        <v>6</v>
      </c>
      <c r="H399" s="18">
        <v>4</v>
      </c>
      <c r="I399" s="19"/>
      <c r="J399" s="19">
        <v>4339.97</v>
      </c>
      <c r="K399" s="19">
        <f t="shared" si="6"/>
        <v>42.970000000000255</v>
      </c>
      <c r="L399" s="18"/>
      <c r="M399" s="18"/>
      <c r="N399" s="18"/>
      <c r="O399" s="26" t="s">
        <v>1036</v>
      </c>
    </row>
    <row r="400" spans="1:15" ht="15" x14ac:dyDescent="0.25">
      <c r="A400">
        <v>398</v>
      </c>
      <c r="B400" s="8" t="s">
        <v>385</v>
      </c>
      <c r="C400" s="21" t="s">
        <v>1338</v>
      </c>
      <c r="D400" s="22" t="s">
        <v>8</v>
      </c>
      <c r="E400" s="23">
        <v>5282</v>
      </c>
      <c r="F400" s="15">
        <v>6203</v>
      </c>
      <c r="G400" s="24" t="s">
        <v>6</v>
      </c>
      <c r="H400" s="18">
        <v>1</v>
      </c>
      <c r="I400" s="19"/>
      <c r="J400" s="19">
        <v>5954.88</v>
      </c>
      <c r="K400" s="19">
        <f t="shared" si="6"/>
        <v>672.88000000000011</v>
      </c>
      <c r="L400" s="18"/>
      <c r="M400" s="18"/>
      <c r="N400" s="18"/>
      <c r="O400" s="26" t="s">
        <v>1036</v>
      </c>
    </row>
    <row r="401" spans="1:15" ht="15" x14ac:dyDescent="0.25">
      <c r="A401">
        <v>399</v>
      </c>
      <c r="B401" s="7" t="s">
        <v>386</v>
      </c>
      <c r="C401" s="13" t="s">
        <v>1339</v>
      </c>
      <c r="D401" s="14" t="s">
        <v>8</v>
      </c>
      <c r="E401" s="16">
        <v>1066</v>
      </c>
      <c r="F401" s="15">
        <v>1259</v>
      </c>
      <c r="G401" s="17" t="s">
        <v>6</v>
      </c>
      <c r="H401" s="18">
        <v>1</v>
      </c>
      <c r="I401" s="19"/>
      <c r="J401" s="19">
        <v>1208.6399999999999</v>
      </c>
      <c r="K401" s="19">
        <f t="shared" si="6"/>
        <v>142.63999999999987</v>
      </c>
      <c r="L401" s="18"/>
      <c r="M401" s="18"/>
      <c r="N401" s="18"/>
      <c r="O401" s="26" t="s">
        <v>1036</v>
      </c>
    </row>
    <row r="402" spans="1:15" ht="15" x14ac:dyDescent="0.25">
      <c r="A402">
        <v>400</v>
      </c>
      <c r="B402" s="8" t="s">
        <v>387</v>
      </c>
      <c r="C402" s="21" t="s">
        <v>1340</v>
      </c>
      <c r="D402" s="22" t="s">
        <v>8</v>
      </c>
      <c r="E402" s="23">
        <v>1429</v>
      </c>
      <c r="F402" s="15">
        <v>1684</v>
      </c>
      <c r="G402" s="24" t="s">
        <v>6</v>
      </c>
      <c r="H402" s="18">
        <v>1</v>
      </c>
      <c r="I402" s="19"/>
      <c r="J402" s="19">
        <v>1616.6399999999999</v>
      </c>
      <c r="K402" s="19">
        <f t="shared" si="6"/>
        <v>187.63999999999987</v>
      </c>
      <c r="L402" s="18"/>
      <c r="M402" s="18"/>
      <c r="N402" s="18"/>
      <c r="O402" s="26" t="s">
        <v>1036</v>
      </c>
    </row>
    <row r="403" spans="1:15" ht="15" x14ac:dyDescent="0.25">
      <c r="A403">
        <v>401</v>
      </c>
      <c r="B403" s="7" t="s">
        <v>388</v>
      </c>
      <c r="C403" s="13" t="s">
        <v>1341</v>
      </c>
      <c r="D403" s="14" t="s">
        <v>8</v>
      </c>
      <c r="E403" s="16">
        <v>13132</v>
      </c>
      <c r="F403" s="15">
        <v>18488</v>
      </c>
      <c r="G403" s="17" t="s">
        <v>6</v>
      </c>
      <c r="H403" s="18">
        <v>1</v>
      </c>
      <c r="I403" s="19"/>
      <c r="J403" s="19">
        <v>14589</v>
      </c>
      <c r="K403" s="19">
        <f t="shared" si="6"/>
        <v>1457</v>
      </c>
      <c r="L403" s="18"/>
      <c r="M403" s="18"/>
      <c r="N403" s="18"/>
      <c r="O403" s="26" t="s">
        <v>1036</v>
      </c>
    </row>
    <row r="404" spans="1:15" ht="15" x14ac:dyDescent="0.25">
      <c r="A404">
        <v>402</v>
      </c>
      <c r="B404" s="8" t="s">
        <v>389</v>
      </c>
      <c r="C404" s="21" t="s">
        <v>1342</v>
      </c>
      <c r="D404" s="22" t="s">
        <v>8</v>
      </c>
      <c r="E404" s="23">
        <v>3272</v>
      </c>
      <c r="F404" s="15">
        <v>3845</v>
      </c>
      <c r="G404" s="24" t="s">
        <v>6</v>
      </c>
      <c r="H404" s="18">
        <v>1</v>
      </c>
      <c r="I404" s="19">
        <f>VLOOKUP(B404,[1]Лист2!$A:$J,10,0)</f>
        <v>2185.7150000000001</v>
      </c>
      <c r="J404" s="19">
        <v>3691.2</v>
      </c>
      <c r="K404" s="19">
        <f t="shared" si="6"/>
        <v>419.19999999999982</v>
      </c>
      <c r="L404" s="18"/>
      <c r="M404" s="18"/>
      <c r="N404" s="18"/>
      <c r="O404" s="26" t="s">
        <v>1036</v>
      </c>
    </row>
    <row r="405" spans="1:15" ht="15" x14ac:dyDescent="0.25">
      <c r="A405">
        <v>403</v>
      </c>
      <c r="B405" s="7" t="s">
        <v>390</v>
      </c>
      <c r="C405" s="13" t="s">
        <v>1343</v>
      </c>
      <c r="D405" s="14" t="s">
        <v>8</v>
      </c>
      <c r="E405" s="16">
        <v>83176</v>
      </c>
      <c r="F405" s="15">
        <v>97541</v>
      </c>
      <c r="G405" s="17" t="s">
        <v>6</v>
      </c>
      <c r="H405" s="18">
        <v>1</v>
      </c>
      <c r="I405" s="19"/>
      <c r="J405" s="19">
        <v>89750</v>
      </c>
      <c r="K405" s="19">
        <f t="shared" si="6"/>
        <v>6574</v>
      </c>
      <c r="L405" s="18"/>
      <c r="M405" s="18"/>
      <c r="N405" s="18"/>
      <c r="O405" s="26" t="s">
        <v>1036</v>
      </c>
    </row>
    <row r="406" spans="1:15" ht="15" x14ac:dyDescent="0.25">
      <c r="A406">
        <v>404</v>
      </c>
      <c r="B406" s="8" t="s">
        <v>391</v>
      </c>
      <c r="C406" s="21" t="s">
        <v>1344</v>
      </c>
      <c r="D406" s="22" t="s">
        <v>8</v>
      </c>
      <c r="E406" s="23">
        <v>23968</v>
      </c>
      <c r="F406" s="15">
        <v>28114</v>
      </c>
      <c r="G406" s="24" t="s">
        <v>6</v>
      </c>
      <c r="H406" s="18">
        <v>1</v>
      </c>
      <c r="I406" s="19"/>
      <c r="J406" s="19">
        <v>26989.439999999999</v>
      </c>
      <c r="K406" s="19">
        <f t="shared" si="6"/>
        <v>3021.4399999999987</v>
      </c>
      <c r="L406" s="18"/>
      <c r="M406" s="18"/>
      <c r="N406" s="18"/>
      <c r="O406" s="26" t="s">
        <v>1036</v>
      </c>
    </row>
    <row r="407" spans="1:15" ht="15" x14ac:dyDescent="0.25">
      <c r="A407">
        <v>405</v>
      </c>
      <c r="B407" s="7" t="s">
        <v>392</v>
      </c>
      <c r="C407" s="13" t="s">
        <v>1345</v>
      </c>
      <c r="D407" s="14" t="s">
        <v>8</v>
      </c>
      <c r="E407" s="16">
        <v>2952</v>
      </c>
      <c r="F407" s="15">
        <v>3260</v>
      </c>
      <c r="G407" s="17" t="s">
        <v>6</v>
      </c>
      <c r="H407" s="18">
        <v>1</v>
      </c>
      <c r="I407" s="19"/>
      <c r="J407" s="19">
        <v>3129.6</v>
      </c>
      <c r="K407" s="19">
        <f t="shared" si="6"/>
        <v>177.59999999999991</v>
      </c>
      <c r="L407" s="18"/>
      <c r="M407" s="18"/>
      <c r="N407" s="18"/>
      <c r="O407" s="26" t="s">
        <v>1036</v>
      </c>
    </row>
    <row r="408" spans="1:15" ht="15" x14ac:dyDescent="0.25">
      <c r="A408">
        <v>406</v>
      </c>
      <c r="B408" s="8" t="s">
        <v>393</v>
      </c>
      <c r="C408" s="21" t="s">
        <v>1346</v>
      </c>
      <c r="D408" s="22" t="s">
        <v>8</v>
      </c>
      <c r="E408" s="23">
        <v>3589</v>
      </c>
      <c r="F408" s="15">
        <v>3987</v>
      </c>
      <c r="G408" s="24" t="s">
        <v>6</v>
      </c>
      <c r="H408" s="18">
        <v>1</v>
      </c>
      <c r="I408" s="19"/>
      <c r="J408" s="19">
        <v>3827.52</v>
      </c>
      <c r="K408" s="19">
        <f t="shared" si="6"/>
        <v>238.51999999999998</v>
      </c>
      <c r="L408" s="18"/>
      <c r="M408" s="18"/>
      <c r="N408" s="18"/>
      <c r="O408" s="26" t="s">
        <v>1036</v>
      </c>
    </row>
    <row r="409" spans="1:15" ht="15" x14ac:dyDescent="0.25">
      <c r="A409">
        <v>407</v>
      </c>
      <c r="B409" s="7" t="s">
        <v>394</v>
      </c>
      <c r="C409" s="13" t="s">
        <v>1347</v>
      </c>
      <c r="D409" s="14" t="s">
        <v>18</v>
      </c>
      <c r="E409" s="16">
        <v>5492</v>
      </c>
      <c r="F409" s="15">
        <v>6741</v>
      </c>
      <c r="G409" s="17" t="s">
        <v>6</v>
      </c>
      <c r="H409" s="18">
        <v>1</v>
      </c>
      <c r="I409" s="19"/>
      <c r="J409" s="19">
        <v>6471.36</v>
      </c>
      <c r="K409" s="19">
        <f t="shared" si="6"/>
        <v>979.35999999999967</v>
      </c>
      <c r="L409" s="18"/>
      <c r="M409" s="18"/>
      <c r="N409" s="18"/>
      <c r="O409" s="26" t="s">
        <v>1036</v>
      </c>
    </row>
    <row r="410" spans="1:15" ht="15" x14ac:dyDescent="0.25">
      <c r="A410">
        <v>408</v>
      </c>
      <c r="B410" s="8" t="s">
        <v>395</v>
      </c>
      <c r="C410" s="21" t="s">
        <v>1348</v>
      </c>
      <c r="D410" s="22" t="s">
        <v>18</v>
      </c>
      <c r="E410" s="15">
        <v>36313</v>
      </c>
      <c r="F410" s="23">
        <v>31850</v>
      </c>
      <c r="G410" s="24" t="s">
        <v>6</v>
      </c>
      <c r="H410" s="18">
        <v>1</v>
      </c>
      <c r="I410" s="19">
        <f>VLOOKUP(B410,[1]Лист2!$A:$J,10,0)</f>
        <v>31881.494999999999</v>
      </c>
      <c r="J410" s="29">
        <v>32200.309949999999</v>
      </c>
      <c r="K410" s="19">
        <f t="shared" si="6"/>
        <v>-4112.6900500000011</v>
      </c>
      <c r="L410" s="18"/>
      <c r="M410" s="18"/>
      <c r="N410" s="18"/>
      <c r="O410" s="26" t="s">
        <v>1036</v>
      </c>
    </row>
    <row r="411" spans="1:15" ht="15" x14ac:dyDescent="0.25">
      <c r="A411">
        <v>409</v>
      </c>
      <c r="B411" s="7" t="s">
        <v>396</v>
      </c>
      <c r="C411" s="13" t="s">
        <v>1349</v>
      </c>
      <c r="D411" s="14" t="s">
        <v>397</v>
      </c>
      <c r="E411" s="15">
        <v>3535</v>
      </c>
      <c r="F411" s="16">
        <v>3336</v>
      </c>
      <c r="G411" s="17" t="s">
        <v>6</v>
      </c>
      <c r="H411" s="18">
        <v>1</v>
      </c>
      <c r="I411" s="19">
        <f>VLOOKUP(B411,[1]Лист2!$A:$J,10,0)</f>
        <v>1163.2850000000001</v>
      </c>
      <c r="J411" s="19">
        <v>3202.56</v>
      </c>
      <c r="K411" s="19">
        <f t="shared" si="6"/>
        <v>-332.44000000000005</v>
      </c>
      <c r="L411" s="18"/>
      <c r="M411" s="18"/>
      <c r="N411" s="18"/>
      <c r="O411" s="26" t="s">
        <v>1036</v>
      </c>
    </row>
    <row r="412" spans="1:15" ht="15" x14ac:dyDescent="0.25">
      <c r="A412">
        <v>410</v>
      </c>
      <c r="B412" s="8" t="s">
        <v>398</v>
      </c>
      <c r="C412" s="21" t="s">
        <v>1350</v>
      </c>
      <c r="D412" s="22" t="s">
        <v>397</v>
      </c>
      <c r="E412" s="15">
        <v>3535</v>
      </c>
      <c r="F412" s="23">
        <v>2217.6</v>
      </c>
      <c r="G412" s="24" t="s">
        <v>71</v>
      </c>
      <c r="H412" s="18">
        <v>1</v>
      </c>
      <c r="I412" s="19">
        <f>VLOOKUP(B412,[1]Лист2!$A:$J,10,0)</f>
        <v>2160.105</v>
      </c>
      <c r="J412" s="29">
        <v>2181.7060500000002</v>
      </c>
      <c r="K412" s="19">
        <f t="shared" si="6"/>
        <v>-1353.2939499999998</v>
      </c>
      <c r="L412" s="18"/>
      <c r="M412" s="18"/>
      <c r="N412" s="18"/>
      <c r="O412" s="26" t="s">
        <v>1036</v>
      </c>
    </row>
    <row r="413" spans="1:15" ht="15" x14ac:dyDescent="0.25">
      <c r="A413">
        <v>411</v>
      </c>
      <c r="B413" s="7" t="s">
        <v>399</v>
      </c>
      <c r="C413" s="13" t="s">
        <v>1351</v>
      </c>
      <c r="D413" s="14" t="s">
        <v>397</v>
      </c>
      <c r="E413" s="15">
        <v>25390</v>
      </c>
      <c r="F413" s="16">
        <v>22619.52</v>
      </c>
      <c r="G413" s="17" t="s">
        <v>71</v>
      </c>
      <c r="H413" s="18">
        <v>1</v>
      </c>
      <c r="I413" s="19">
        <f>VLOOKUP(B413,[1]Лист2!$A:$J,10,0)</f>
        <v>23930.575000000001</v>
      </c>
      <c r="J413" s="29">
        <v>24169.88075</v>
      </c>
      <c r="K413" s="19">
        <f t="shared" si="6"/>
        <v>-1220.1192499999997</v>
      </c>
      <c r="L413" s="18"/>
      <c r="M413" s="18"/>
      <c r="N413" s="18"/>
      <c r="O413" s="26" t="s">
        <v>1036</v>
      </c>
    </row>
    <row r="414" spans="1:15" ht="15" x14ac:dyDescent="0.25">
      <c r="A414">
        <v>412</v>
      </c>
      <c r="B414" s="8" t="s">
        <v>400</v>
      </c>
      <c r="C414" s="21" t="s">
        <v>1352</v>
      </c>
      <c r="D414" s="22" t="s">
        <v>275</v>
      </c>
      <c r="E414" s="23">
        <v>35338</v>
      </c>
      <c r="F414" s="15">
        <v>43329</v>
      </c>
      <c r="G414" s="24" t="s">
        <v>6</v>
      </c>
      <c r="H414" s="18">
        <v>1</v>
      </c>
      <c r="I414" s="19"/>
      <c r="J414" s="19">
        <v>39595.839999999997</v>
      </c>
      <c r="K414" s="19">
        <f t="shared" si="6"/>
        <v>4257.8399999999965</v>
      </c>
      <c r="L414" s="18"/>
      <c r="M414" s="18"/>
      <c r="N414" s="18"/>
      <c r="O414" s="26" t="s">
        <v>1036</v>
      </c>
    </row>
    <row r="415" spans="1:15" ht="15" x14ac:dyDescent="0.25">
      <c r="A415">
        <v>413</v>
      </c>
      <c r="B415" s="7" t="s">
        <v>401</v>
      </c>
      <c r="C415" s="13" t="s">
        <v>1353</v>
      </c>
      <c r="D415" s="14" t="s">
        <v>18</v>
      </c>
      <c r="E415" s="16">
        <v>1369</v>
      </c>
      <c r="F415" s="15">
        <v>1686</v>
      </c>
      <c r="G415" s="17" t="s">
        <v>6</v>
      </c>
      <c r="H415" s="18">
        <v>1</v>
      </c>
      <c r="I415" s="19"/>
      <c r="J415" s="19">
        <v>1618.56</v>
      </c>
      <c r="K415" s="19">
        <f t="shared" si="6"/>
        <v>249.55999999999995</v>
      </c>
      <c r="L415" s="18"/>
      <c r="M415" s="18"/>
      <c r="N415" s="18"/>
      <c r="O415" s="26" t="s">
        <v>1036</v>
      </c>
    </row>
    <row r="416" spans="1:15" ht="15" x14ac:dyDescent="0.25">
      <c r="A416">
        <v>414</v>
      </c>
      <c r="B416" s="8" t="s">
        <v>402</v>
      </c>
      <c r="C416" s="21" t="s">
        <v>1354</v>
      </c>
      <c r="D416" s="22" t="s">
        <v>18</v>
      </c>
      <c r="E416" s="23">
        <v>2919</v>
      </c>
      <c r="F416" s="15">
        <v>3587</v>
      </c>
      <c r="G416" s="24" t="s">
        <v>6</v>
      </c>
      <c r="H416" s="18">
        <v>1</v>
      </c>
      <c r="I416" s="19"/>
      <c r="J416" s="19">
        <v>3443.52</v>
      </c>
      <c r="K416" s="19">
        <f t="shared" si="6"/>
        <v>524.52</v>
      </c>
      <c r="L416" s="18"/>
      <c r="M416" s="18"/>
      <c r="N416" s="18"/>
      <c r="O416" s="26" t="s">
        <v>1036</v>
      </c>
    </row>
    <row r="417" spans="1:15" ht="15" x14ac:dyDescent="0.25">
      <c r="A417">
        <v>415</v>
      </c>
      <c r="B417" s="7" t="s">
        <v>403</v>
      </c>
      <c r="C417" s="13" t="s">
        <v>1355</v>
      </c>
      <c r="D417" s="14" t="s">
        <v>404</v>
      </c>
      <c r="E417" s="16">
        <v>2922</v>
      </c>
      <c r="F417" s="15">
        <v>4308</v>
      </c>
      <c r="G417" s="17" t="s">
        <v>6</v>
      </c>
      <c r="H417" s="18">
        <v>1</v>
      </c>
      <c r="I417" s="19"/>
      <c r="J417" s="19">
        <v>4135.68</v>
      </c>
      <c r="K417" s="19">
        <f t="shared" si="6"/>
        <v>1213.6800000000003</v>
      </c>
      <c r="L417" s="18"/>
      <c r="M417" s="18"/>
      <c r="N417" s="18"/>
      <c r="O417" s="26" t="s">
        <v>1036</v>
      </c>
    </row>
    <row r="418" spans="1:15" ht="15" x14ac:dyDescent="0.25">
      <c r="A418">
        <v>416</v>
      </c>
      <c r="B418" s="8" t="s">
        <v>405</v>
      </c>
      <c r="C418" s="21" t="s">
        <v>1356</v>
      </c>
      <c r="D418" s="22" t="s">
        <v>346</v>
      </c>
      <c r="E418" s="15">
        <v>2849</v>
      </c>
      <c r="F418" s="23">
        <v>2465</v>
      </c>
      <c r="G418" s="24" t="s">
        <v>6</v>
      </c>
      <c r="H418" s="18">
        <v>1</v>
      </c>
      <c r="I418" s="19">
        <f>VLOOKUP(B418,[1]Лист2!$A:$J,10,0)</f>
        <v>2338.39</v>
      </c>
      <c r="J418" s="19">
        <v>2366.4</v>
      </c>
      <c r="K418" s="19">
        <f t="shared" si="6"/>
        <v>-482.59999999999991</v>
      </c>
      <c r="L418" s="18"/>
      <c r="M418" s="18"/>
      <c r="N418" s="18"/>
      <c r="O418" s="26" t="s">
        <v>1036</v>
      </c>
    </row>
    <row r="419" spans="1:15" ht="15" x14ac:dyDescent="0.25">
      <c r="A419">
        <v>417</v>
      </c>
      <c r="B419" s="7" t="s">
        <v>406</v>
      </c>
      <c r="C419" s="13" t="s">
        <v>1357</v>
      </c>
      <c r="D419" s="14" t="s">
        <v>407</v>
      </c>
      <c r="E419" s="16">
        <v>3216</v>
      </c>
      <c r="F419" s="15">
        <v>3847.68</v>
      </c>
      <c r="G419" s="17" t="s">
        <v>78</v>
      </c>
      <c r="H419" s="18">
        <v>1</v>
      </c>
      <c r="I419" s="19"/>
      <c r="J419" s="19">
        <v>3693.7727999999997</v>
      </c>
      <c r="K419" s="19">
        <f t="shared" si="6"/>
        <v>477.77279999999973</v>
      </c>
      <c r="L419" s="18"/>
      <c r="M419" s="18"/>
      <c r="N419" s="18"/>
      <c r="O419" s="26" t="s">
        <v>1036</v>
      </c>
    </row>
    <row r="420" spans="1:15" ht="15" x14ac:dyDescent="0.25">
      <c r="A420">
        <v>418</v>
      </c>
      <c r="B420" s="8" t="s">
        <v>408</v>
      </c>
      <c r="C420" s="21" t="s">
        <v>1358</v>
      </c>
      <c r="D420" s="22" t="s">
        <v>8</v>
      </c>
      <c r="E420" s="15">
        <v>3364</v>
      </c>
      <c r="F420" s="23">
        <v>282</v>
      </c>
      <c r="G420" s="24" t="s">
        <v>6</v>
      </c>
      <c r="H420" s="18">
        <v>2</v>
      </c>
      <c r="I420" s="19">
        <f>VLOOKUP(B420,[1]Лист2!$A:$J,10,0)</f>
        <v>226.54999999999998</v>
      </c>
      <c r="J420" s="19">
        <v>850</v>
      </c>
      <c r="K420" s="19">
        <f t="shared" si="6"/>
        <v>-2514</v>
      </c>
      <c r="L420" s="18"/>
      <c r="M420" s="18"/>
      <c r="N420" s="18"/>
      <c r="O420" s="26" t="s">
        <v>1036</v>
      </c>
    </row>
    <row r="421" spans="1:15" ht="15" x14ac:dyDescent="0.25">
      <c r="A421">
        <v>419</v>
      </c>
      <c r="B421" s="7" t="s">
        <v>409</v>
      </c>
      <c r="C421" s="13" t="s">
        <v>1359</v>
      </c>
      <c r="D421" s="14" t="s">
        <v>8</v>
      </c>
      <c r="E421" s="16">
        <v>3980</v>
      </c>
      <c r="F421" s="15">
        <v>4115</v>
      </c>
      <c r="G421" s="17" t="s">
        <v>6</v>
      </c>
      <c r="H421" s="18">
        <v>1</v>
      </c>
      <c r="I421" s="19"/>
      <c r="J421" s="19">
        <v>4019.8</v>
      </c>
      <c r="K421" s="19">
        <f t="shared" si="6"/>
        <v>39.800000000000182</v>
      </c>
      <c r="L421" s="18"/>
      <c r="M421" s="18"/>
      <c r="N421" s="18"/>
      <c r="O421" s="26" t="s">
        <v>1036</v>
      </c>
    </row>
    <row r="422" spans="1:15" ht="15" x14ac:dyDescent="0.25">
      <c r="A422">
        <v>420</v>
      </c>
      <c r="B422" s="8" t="s">
        <v>410</v>
      </c>
      <c r="C422" s="21" t="s">
        <v>1360</v>
      </c>
      <c r="D422" s="22" t="s">
        <v>8</v>
      </c>
      <c r="E422" s="15">
        <v>3242</v>
      </c>
      <c r="F422" s="23">
        <v>1999</v>
      </c>
      <c r="G422" s="24" t="s">
        <v>6</v>
      </c>
      <c r="H422" s="18">
        <v>2</v>
      </c>
      <c r="I422" s="19">
        <f>VLOOKUP(B422,[1]Лист2!$A:$J,10,0)</f>
        <v>1548.42</v>
      </c>
      <c r="J422" s="19">
        <v>1919.04</v>
      </c>
      <c r="K422" s="19">
        <f t="shared" si="6"/>
        <v>-1322.96</v>
      </c>
      <c r="L422" s="18"/>
      <c r="M422" s="18"/>
      <c r="N422" s="18"/>
      <c r="O422" s="26" t="s">
        <v>1036</v>
      </c>
    </row>
    <row r="423" spans="1:15" ht="15" x14ac:dyDescent="0.25">
      <c r="A423">
        <v>421</v>
      </c>
      <c r="B423" s="7" t="s">
        <v>411</v>
      </c>
      <c r="C423" s="13" t="s">
        <v>1361</v>
      </c>
      <c r="D423" s="14" t="s">
        <v>8</v>
      </c>
      <c r="E423" s="16">
        <v>1605</v>
      </c>
      <c r="F423" s="15">
        <v>1890</v>
      </c>
      <c r="G423" s="17" t="s">
        <v>6</v>
      </c>
      <c r="H423" s="18">
        <v>1</v>
      </c>
      <c r="I423" s="19"/>
      <c r="J423" s="19">
        <v>1814.3999999999999</v>
      </c>
      <c r="K423" s="19">
        <f t="shared" si="6"/>
        <v>209.39999999999986</v>
      </c>
      <c r="L423" s="18"/>
      <c r="M423" s="18"/>
      <c r="N423" s="18"/>
      <c r="O423" s="26" t="s">
        <v>1036</v>
      </c>
    </row>
    <row r="424" spans="1:15" ht="15" x14ac:dyDescent="0.25">
      <c r="A424">
        <v>422</v>
      </c>
      <c r="B424" s="8" t="s">
        <v>412</v>
      </c>
      <c r="C424" s="21" t="s">
        <v>1362</v>
      </c>
      <c r="D424" s="22" t="s">
        <v>8</v>
      </c>
      <c r="E424" s="23">
        <v>21779</v>
      </c>
      <c r="F424" s="15">
        <v>25547</v>
      </c>
      <c r="G424" s="24" t="s">
        <v>6</v>
      </c>
      <c r="H424" s="18">
        <v>1</v>
      </c>
      <c r="I424" s="19"/>
      <c r="J424" s="19">
        <v>24525.119999999999</v>
      </c>
      <c r="K424" s="19">
        <f t="shared" si="6"/>
        <v>2746.119999999999</v>
      </c>
      <c r="L424" s="18"/>
      <c r="M424" s="18"/>
      <c r="N424" s="18"/>
      <c r="O424" s="26" t="s">
        <v>1036</v>
      </c>
    </row>
    <row r="425" spans="1:15" ht="15" x14ac:dyDescent="0.25">
      <c r="A425">
        <v>423</v>
      </c>
      <c r="B425" s="7" t="s">
        <v>413</v>
      </c>
      <c r="C425" s="13" t="s">
        <v>1050</v>
      </c>
      <c r="D425" s="14" t="s">
        <v>8</v>
      </c>
      <c r="E425" s="16">
        <v>68910</v>
      </c>
      <c r="F425" s="15">
        <v>80813</v>
      </c>
      <c r="G425" s="17" t="s">
        <v>6</v>
      </c>
      <c r="H425" s="18">
        <v>1</v>
      </c>
      <c r="I425" s="19"/>
      <c r="J425" s="19">
        <v>72580.479999999996</v>
      </c>
      <c r="K425" s="19">
        <f t="shared" si="6"/>
        <v>3670.4799999999959</v>
      </c>
      <c r="L425" s="18"/>
      <c r="M425" s="18"/>
      <c r="N425" s="18"/>
      <c r="O425" s="26" t="s">
        <v>1036</v>
      </c>
    </row>
    <row r="426" spans="1:15" ht="15" x14ac:dyDescent="0.25">
      <c r="A426">
        <v>424</v>
      </c>
      <c r="B426" s="8" t="s">
        <v>414</v>
      </c>
      <c r="C426" s="21" t="s">
        <v>1363</v>
      </c>
      <c r="D426" s="22" t="s">
        <v>8</v>
      </c>
      <c r="E426" s="23">
        <v>20753</v>
      </c>
      <c r="F426" s="15">
        <v>24344</v>
      </c>
      <c r="G426" s="24" t="s">
        <v>6</v>
      </c>
      <c r="H426" s="18">
        <v>1</v>
      </c>
      <c r="I426" s="19"/>
      <c r="J426" s="19">
        <v>23370.239999999998</v>
      </c>
      <c r="K426" s="19">
        <f t="shared" si="6"/>
        <v>2617.239999999998</v>
      </c>
      <c r="L426" s="18"/>
      <c r="M426" s="18"/>
      <c r="N426" s="18"/>
      <c r="O426" s="26" t="s">
        <v>1036</v>
      </c>
    </row>
    <row r="427" spans="1:15" ht="15" x14ac:dyDescent="0.25">
      <c r="A427">
        <v>425</v>
      </c>
      <c r="B427" s="7" t="s">
        <v>415</v>
      </c>
      <c r="C427" s="13" t="s">
        <v>1364</v>
      </c>
      <c r="D427" s="14" t="s">
        <v>8</v>
      </c>
      <c r="E427" s="16">
        <v>5841</v>
      </c>
      <c r="F427" s="15">
        <v>8162</v>
      </c>
      <c r="G427" s="17" t="s">
        <v>6</v>
      </c>
      <c r="H427" s="18">
        <v>1</v>
      </c>
      <c r="I427" s="19"/>
      <c r="J427" s="19">
        <v>7835.5199999999995</v>
      </c>
      <c r="K427" s="19">
        <f t="shared" si="6"/>
        <v>1994.5199999999995</v>
      </c>
      <c r="L427" s="18"/>
      <c r="M427" s="18"/>
      <c r="N427" s="18"/>
      <c r="O427" s="26" t="s">
        <v>1036</v>
      </c>
    </row>
    <row r="428" spans="1:15" ht="15" x14ac:dyDescent="0.25">
      <c r="A428">
        <v>426</v>
      </c>
      <c r="B428" s="8" t="s">
        <v>415</v>
      </c>
      <c r="C428" s="21" t="s">
        <v>1364</v>
      </c>
      <c r="D428" s="22" t="s">
        <v>8</v>
      </c>
      <c r="E428" s="23">
        <v>8066</v>
      </c>
      <c r="F428" s="15">
        <v>8162</v>
      </c>
      <c r="G428" s="24" t="s">
        <v>6</v>
      </c>
      <c r="H428" s="18">
        <v>1</v>
      </c>
      <c r="I428" s="19"/>
      <c r="J428" s="19">
        <v>8146.66</v>
      </c>
      <c r="K428" s="19">
        <f t="shared" si="6"/>
        <v>80.659999999999854</v>
      </c>
      <c r="L428" s="18"/>
      <c r="M428" s="18"/>
      <c r="N428" s="18"/>
      <c r="O428" s="26" t="s">
        <v>1036</v>
      </c>
    </row>
    <row r="429" spans="1:15" ht="15" x14ac:dyDescent="0.25">
      <c r="A429">
        <v>427</v>
      </c>
      <c r="B429" s="7" t="s">
        <v>416</v>
      </c>
      <c r="C429" s="13" t="s">
        <v>1050</v>
      </c>
      <c r="D429" s="14" t="s">
        <v>8</v>
      </c>
      <c r="E429" s="15">
        <v>138653</v>
      </c>
      <c r="F429" s="16">
        <v>123117</v>
      </c>
      <c r="G429" s="17" t="s">
        <v>6</v>
      </c>
      <c r="H429" s="18">
        <v>1</v>
      </c>
      <c r="I429" s="19"/>
      <c r="J429" s="19">
        <v>140039.53</v>
      </c>
      <c r="K429" s="19">
        <f t="shared" si="6"/>
        <v>1386.5299999999988</v>
      </c>
      <c r="L429" s="18"/>
      <c r="M429" s="18"/>
      <c r="N429" s="18"/>
      <c r="O429" s="26" t="s">
        <v>1036</v>
      </c>
    </row>
    <row r="430" spans="1:15" ht="15" x14ac:dyDescent="0.25">
      <c r="A430">
        <v>428</v>
      </c>
      <c r="B430" s="8" t="s">
        <v>417</v>
      </c>
      <c r="C430" s="21" t="s">
        <v>1365</v>
      </c>
      <c r="D430" s="22" t="s">
        <v>8</v>
      </c>
      <c r="E430" s="23">
        <v>671</v>
      </c>
      <c r="F430" s="15">
        <v>953</v>
      </c>
      <c r="G430" s="24" t="s">
        <v>6</v>
      </c>
      <c r="H430" s="18">
        <v>1</v>
      </c>
      <c r="I430" s="19"/>
      <c r="J430" s="19">
        <v>914.88</v>
      </c>
      <c r="K430" s="19">
        <f t="shared" si="6"/>
        <v>243.88</v>
      </c>
      <c r="L430" s="18"/>
      <c r="M430" s="18"/>
      <c r="N430" s="18"/>
      <c r="O430" s="26" t="s">
        <v>1036</v>
      </c>
    </row>
    <row r="431" spans="1:15" ht="15" x14ac:dyDescent="0.25">
      <c r="A431">
        <v>429</v>
      </c>
      <c r="B431" s="7" t="s">
        <v>418</v>
      </c>
      <c r="C431" s="13" t="s">
        <v>1366</v>
      </c>
      <c r="D431" s="14" t="s">
        <v>8</v>
      </c>
      <c r="E431" s="16">
        <v>4083</v>
      </c>
      <c r="F431" s="15">
        <v>4796</v>
      </c>
      <c r="G431" s="17" t="s">
        <v>6</v>
      </c>
      <c r="H431" s="18">
        <v>1</v>
      </c>
      <c r="I431" s="19">
        <f>VLOOKUP(B431,[1]Лист2!$A:$J,10,0)</f>
        <v>824.44499999999994</v>
      </c>
      <c r="J431" s="19">
        <v>4604.16</v>
      </c>
      <c r="K431" s="19">
        <f t="shared" si="6"/>
        <v>521.15999999999985</v>
      </c>
      <c r="L431" s="18"/>
      <c r="M431" s="18"/>
      <c r="N431" s="18"/>
      <c r="O431" s="26" t="s">
        <v>1036</v>
      </c>
    </row>
    <row r="432" spans="1:15" ht="15" x14ac:dyDescent="0.25">
      <c r="A432">
        <v>430</v>
      </c>
      <c r="B432" s="8" t="s">
        <v>419</v>
      </c>
      <c r="C432" s="21" t="s">
        <v>1367</v>
      </c>
      <c r="D432" s="22" t="s">
        <v>8</v>
      </c>
      <c r="E432" s="15">
        <v>5552</v>
      </c>
      <c r="F432" s="23">
        <v>4156</v>
      </c>
      <c r="G432" s="24" t="s">
        <v>6</v>
      </c>
      <c r="H432" s="18">
        <v>1</v>
      </c>
      <c r="I432" s="19">
        <f>VLOOKUP(B432,[1]Лист2!$A:$J,10,0)</f>
        <v>4345.82</v>
      </c>
      <c r="J432" s="29">
        <v>4389.2781999999997</v>
      </c>
      <c r="K432" s="19">
        <f t="shared" si="6"/>
        <v>-1162.7218000000003</v>
      </c>
      <c r="L432" s="18"/>
      <c r="M432" s="18"/>
      <c r="N432" s="18"/>
      <c r="O432" s="26" t="s">
        <v>1036</v>
      </c>
    </row>
    <row r="433" spans="1:15" ht="15" x14ac:dyDescent="0.25">
      <c r="A433">
        <v>431</v>
      </c>
      <c r="B433" s="7" t="s">
        <v>420</v>
      </c>
      <c r="C433" s="13" t="s">
        <v>1050</v>
      </c>
      <c r="D433" s="14" t="s">
        <v>8</v>
      </c>
      <c r="E433" s="16">
        <v>52354</v>
      </c>
      <c r="F433" s="15">
        <v>61399</v>
      </c>
      <c r="G433" s="17" t="s">
        <v>6</v>
      </c>
      <c r="H433" s="18">
        <v>3</v>
      </c>
      <c r="I433" s="19"/>
      <c r="J433" s="19">
        <v>57950</v>
      </c>
      <c r="K433" s="19">
        <f t="shared" si="6"/>
        <v>5596</v>
      </c>
      <c r="L433" s="18"/>
      <c r="M433" s="18"/>
      <c r="N433" s="18"/>
      <c r="O433" s="26" t="s">
        <v>1036</v>
      </c>
    </row>
    <row r="434" spans="1:15" ht="15" x14ac:dyDescent="0.25">
      <c r="A434">
        <v>432</v>
      </c>
      <c r="B434" s="8" t="s">
        <v>421</v>
      </c>
      <c r="C434" s="21" t="s">
        <v>1368</v>
      </c>
      <c r="D434" s="22" t="s">
        <v>54</v>
      </c>
      <c r="E434" s="15">
        <v>5163</v>
      </c>
      <c r="F434" s="23">
        <v>2590</v>
      </c>
      <c r="G434" s="24" t="s">
        <v>6</v>
      </c>
      <c r="H434" s="18">
        <v>1</v>
      </c>
      <c r="I434" s="19">
        <f>VLOOKUP(B434,[1]Лист2!$A:$J,10,0)</f>
        <v>2611.2350000000001</v>
      </c>
      <c r="J434" s="29">
        <v>2637.34735</v>
      </c>
      <c r="K434" s="19">
        <f t="shared" si="6"/>
        <v>-2525.65265</v>
      </c>
      <c r="L434" s="18"/>
      <c r="M434" s="18"/>
      <c r="N434" s="18"/>
      <c r="O434" s="26" t="s">
        <v>1036</v>
      </c>
    </row>
    <row r="435" spans="1:15" ht="15" x14ac:dyDescent="0.25">
      <c r="A435">
        <v>433</v>
      </c>
      <c r="B435" s="7" t="s">
        <v>422</v>
      </c>
      <c r="C435" s="13" t="s">
        <v>1369</v>
      </c>
      <c r="D435" s="14" t="s">
        <v>111</v>
      </c>
      <c r="E435" s="15">
        <v>28428</v>
      </c>
      <c r="F435" s="16">
        <v>23717</v>
      </c>
      <c r="G435" s="17" t="s">
        <v>6</v>
      </c>
      <c r="H435" s="18">
        <v>1</v>
      </c>
      <c r="I435" s="19">
        <f>VLOOKUP(B435,[1]Лист2!$A:$J,10,0)</f>
        <v>23947.32</v>
      </c>
      <c r="J435" s="29">
        <v>24186.7932</v>
      </c>
      <c r="K435" s="19">
        <f t="shared" si="6"/>
        <v>-4241.2067999999999</v>
      </c>
      <c r="L435" s="18"/>
      <c r="M435" s="18"/>
      <c r="N435" s="18"/>
      <c r="O435" s="26" t="s">
        <v>1036</v>
      </c>
    </row>
    <row r="436" spans="1:15" ht="15" x14ac:dyDescent="0.25">
      <c r="A436">
        <v>434</v>
      </c>
      <c r="B436" s="8" t="s">
        <v>423</v>
      </c>
      <c r="C436" s="21" t="s">
        <v>1370</v>
      </c>
      <c r="D436" s="22" t="s">
        <v>18</v>
      </c>
      <c r="E436" s="15">
        <v>2574</v>
      </c>
      <c r="F436" s="23">
        <v>994.76</v>
      </c>
      <c r="G436" s="24" t="s">
        <v>11</v>
      </c>
      <c r="H436" s="18">
        <v>1</v>
      </c>
      <c r="I436" s="19">
        <f>VLOOKUP(B436,[1]Лист2!$A:$J,10,0)</f>
        <v>884.53</v>
      </c>
      <c r="J436" s="19">
        <v>954.9695999999999</v>
      </c>
      <c r="K436" s="19">
        <f t="shared" si="6"/>
        <v>-1619.0304000000001</v>
      </c>
      <c r="L436" s="18"/>
      <c r="M436" s="18"/>
      <c r="N436" s="18"/>
      <c r="O436" s="26" t="s">
        <v>1036</v>
      </c>
    </row>
    <row r="437" spans="1:15" ht="15" x14ac:dyDescent="0.25">
      <c r="A437">
        <v>435</v>
      </c>
      <c r="B437" s="7" t="s">
        <v>424</v>
      </c>
      <c r="C437" s="13" t="s">
        <v>1371</v>
      </c>
      <c r="D437" s="14" t="s">
        <v>18</v>
      </c>
      <c r="E437" s="15">
        <v>2462</v>
      </c>
      <c r="F437" s="16">
        <v>985</v>
      </c>
      <c r="G437" s="17" t="s">
        <v>6</v>
      </c>
      <c r="H437" s="18">
        <v>1</v>
      </c>
      <c r="I437" s="19">
        <f>VLOOKUP(B437,[1]Лист2!$A:$J,10,0)</f>
        <v>1023.415</v>
      </c>
      <c r="J437" s="29">
        <v>1033.64915</v>
      </c>
      <c r="K437" s="19">
        <f t="shared" si="6"/>
        <v>-1428.35085</v>
      </c>
      <c r="L437" s="18"/>
      <c r="M437" s="18"/>
      <c r="N437" s="18"/>
      <c r="O437" s="26" t="s">
        <v>1036</v>
      </c>
    </row>
    <row r="438" spans="1:15" ht="15" x14ac:dyDescent="0.25">
      <c r="A438">
        <v>436</v>
      </c>
      <c r="B438" s="8" t="s">
        <v>425</v>
      </c>
      <c r="C438" s="21" t="s">
        <v>1372</v>
      </c>
      <c r="D438" s="22" t="s">
        <v>18</v>
      </c>
      <c r="E438" s="15">
        <v>2833</v>
      </c>
      <c r="F438" s="23">
        <v>2151</v>
      </c>
      <c r="G438" s="24" t="s">
        <v>6</v>
      </c>
      <c r="H438" s="18">
        <v>1</v>
      </c>
      <c r="I438" s="19"/>
      <c r="J438" s="19">
        <v>2861.33</v>
      </c>
      <c r="K438" s="19">
        <f t="shared" si="6"/>
        <v>28.329999999999927</v>
      </c>
      <c r="L438" s="18"/>
      <c r="M438" s="18"/>
      <c r="N438" s="18"/>
      <c r="O438" s="26" t="s">
        <v>1036</v>
      </c>
    </row>
    <row r="439" spans="1:15" ht="15" x14ac:dyDescent="0.25">
      <c r="A439">
        <v>437</v>
      </c>
      <c r="B439" s="7" t="s">
        <v>426</v>
      </c>
      <c r="C439" s="13" t="s">
        <v>1373</v>
      </c>
      <c r="D439" s="14" t="s">
        <v>18</v>
      </c>
      <c r="E439" s="15">
        <v>4029</v>
      </c>
      <c r="F439" s="16">
        <v>3814</v>
      </c>
      <c r="G439" s="17" t="s">
        <v>6</v>
      </c>
      <c r="H439" s="18">
        <v>1</v>
      </c>
      <c r="I439" s="19"/>
      <c r="J439" s="19">
        <v>4069.29</v>
      </c>
      <c r="K439" s="19">
        <f t="shared" si="6"/>
        <v>40.289999999999964</v>
      </c>
      <c r="L439" s="18"/>
      <c r="M439" s="18"/>
      <c r="N439" s="18"/>
      <c r="O439" s="26" t="s">
        <v>1036</v>
      </c>
    </row>
    <row r="440" spans="1:15" ht="15" x14ac:dyDescent="0.25">
      <c r="A440">
        <v>438</v>
      </c>
      <c r="B440" s="8" t="s">
        <v>426</v>
      </c>
      <c r="C440" s="21" t="s">
        <v>1373</v>
      </c>
      <c r="D440" s="22" t="s">
        <v>18</v>
      </c>
      <c r="E440" s="15">
        <v>3907</v>
      </c>
      <c r="F440" s="23">
        <v>3814</v>
      </c>
      <c r="G440" s="24" t="s">
        <v>6</v>
      </c>
      <c r="H440" s="18">
        <v>1</v>
      </c>
      <c r="I440" s="19"/>
      <c r="J440" s="19">
        <v>3946.07</v>
      </c>
      <c r="K440" s="19">
        <f t="shared" si="6"/>
        <v>39.070000000000164</v>
      </c>
      <c r="L440" s="18"/>
      <c r="M440" s="18"/>
      <c r="N440" s="18"/>
      <c r="O440" s="26" t="s">
        <v>1036</v>
      </c>
    </row>
    <row r="441" spans="1:15" ht="15" x14ac:dyDescent="0.25">
      <c r="A441">
        <v>439</v>
      </c>
      <c r="B441" s="7" t="s">
        <v>427</v>
      </c>
      <c r="C441" s="13" t="s">
        <v>1374</v>
      </c>
      <c r="D441" s="14" t="s">
        <v>18</v>
      </c>
      <c r="E441" s="16">
        <v>6807</v>
      </c>
      <c r="F441" s="15">
        <v>7946</v>
      </c>
      <c r="G441" s="17" t="s">
        <v>6</v>
      </c>
      <c r="H441" s="18">
        <v>1</v>
      </c>
      <c r="I441" s="19"/>
      <c r="J441" s="19">
        <v>7628.16</v>
      </c>
      <c r="K441" s="19">
        <f t="shared" si="6"/>
        <v>821.15999999999985</v>
      </c>
      <c r="L441" s="18"/>
      <c r="M441" s="18"/>
      <c r="N441" s="18"/>
      <c r="O441" s="26" t="s">
        <v>1036</v>
      </c>
    </row>
    <row r="442" spans="1:15" ht="15" x14ac:dyDescent="0.25">
      <c r="A442">
        <v>440</v>
      </c>
      <c r="B442" s="8" t="s">
        <v>428</v>
      </c>
      <c r="C442" s="21" t="s">
        <v>1375</v>
      </c>
      <c r="D442" s="22" t="s">
        <v>18</v>
      </c>
      <c r="E442" s="15">
        <v>2992</v>
      </c>
      <c r="F442" s="23">
        <v>1380</v>
      </c>
      <c r="G442" s="24" t="s">
        <v>6</v>
      </c>
      <c r="H442" s="18">
        <v>1</v>
      </c>
      <c r="I442" s="19">
        <f>VLOOKUP(B442,[1]Лист2!$A:$J,10,0)</f>
        <v>1473.56</v>
      </c>
      <c r="J442" s="29">
        <v>1488.2955999999999</v>
      </c>
      <c r="K442" s="19">
        <f t="shared" si="6"/>
        <v>-1503.7044000000001</v>
      </c>
      <c r="L442" s="18"/>
      <c r="M442" s="18"/>
      <c r="N442" s="18"/>
      <c r="O442" s="26" t="s">
        <v>1036</v>
      </c>
    </row>
    <row r="443" spans="1:15" ht="15" x14ac:dyDescent="0.25">
      <c r="A443">
        <v>441</v>
      </c>
      <c r="B443" s="7" t="s">
        <v>429</v>
      </c>
      <c r="C443" s="13" t="s">
        <v>1376</v>
      </c>
      <c r="D443" s="14" t="s">
        <v>18</v>
      </c>
      <c r="E443" s="15">
        <v>82182</v>
      </c>
      <c r="F443" s="16">
        <v>67166</v>
      </c>
      <c r="G443" s="17" t="s">
        <v>6</v>
      </c>
      <c r="H443" s="18">
        <v>1</v>
      </c>
      <c r="I443" s="19">
        <f>VLOOKUP(B443,[1]Лист2!$A:$J,10,0)</f>
        <v>67824.145000000004</v>
      </c>
      <c r="J443" s="29">
        <v>68502.386450000005</v>
      </c>
      <c r="K443" s="19">
        <f t="shared" si="6"/>
        <v>-13679.613549999995</v>
      </c>
      <c r="L443" s="18"/>
      <c r="M443" s="18"/>
      <c r="N443" s="18"/>
      <c r="O443" s="26" t="s">
        <v>1036</v>
      </c>
    </row>
    <row r="444" spans="1:15" ht="15" x14ac:dyDescent="0.25">
      <c r="A444">
        <v>442</v>
      </c>
      <c r="B444" s="8" t="s">
        <v>430</v>
      </c>
      <c r="C444" s="21" t="s">
        <v>1377</v>
      </c>
      <c r="D444" s="22" t="s">
        <v>18</v>
      </c>
      <c r="E444" s="15">
        <v>7973</v>
      </c>
      <c r="F444" s="23">
        <v>6275</v>
      </c>
      <c r="G444" s="24" t="s">
        <v>6</v>
      </c>
      <c r="H444" s="18">
        <v>1</v>
      </c>
      <c r="I444" s="19">
        <f>VLOOKUP(B444,[1]Лист2!$A:$J,10,0)</f>
        <v>4414.7699999999995</v>
      </c>
      <c r="J444" s="19">
        <v>6024</v>
      </c>
      <c r="K444" s="19">
        <f t="shared" si="6"/>
        <v>-1949</v>
      </c>
      <c r="L444" s="18"/>
      <c r="M444" s="18"/>
      <c r="N444" s="18"/>
      <c r="O444" s="26" t="s">
        <v>1036</v>
      </c>
    </row>
    <row r="445" spans="1:15" ht="15" x14ac:dyDescent="0.25">
      <c r="A445">
        <v>443</v>
      </c>
      <c r="B445" s="7" t="s">
        <v>431</v>
      </c>
      <c r="C445" s="13" t="s">
        <v>1378</v>
      </c>
      <c r="D445" s="14" t="s">
        <v>18</v>
      </c>
      <c r="E445" s="15">
        <v>11726</v>
      </c>
      <c r="F445" s="16">
        <v>1980</v>
      </c>
      <c r="G445" s="17" t="s">
        <v>6</v>
      </c>
      <c r="H445" s="18">
        <v>1</v>
      </c>
      <c r="I445" s="19">
        <f>VLOOKUP(B445,[1]Лист2!$A:$J,10,0)</f>
        <v>2025.16</v>
      </c>
      <c r="J445" s="29">
        <v>5950</v>
      </c>
      <c r="K445" s="19">
        <f t="shared" si="6"/>
        <v>-5776</v>
      </c>
      <c r="L445" s="18"/>
      <c r="M445" s="18"/>
      <c r="N445" s="18"/>
      <c r="O445" s="26" t="s">
        <v>1036</v>
      </c>
    </row>
    <row r="446" spans="1:15" ht="15" x14ac:dyDescent="0.25">
      <c r="A446">
        <v>444</v>
      </c>
      <c r="B446" s="8" t="s">
        <v>432</v>
      </c>
      <c r="C446" s="21" t="s">
        <v>1379</v>
      </c>
      <c r="D446" s="22" t="s">
        <v>18</v>
      </c>
      <c r="E446" s="23">
        <v>27254</v>
      </c>
      <c r="F446" s="15">
        <v>33420</v>
      </c>
      <c r="G446" s="24" t="s">
        <v>6</v>
      </c>
      <c r="H446" s="18">
        <v>1</v>
      </c>
      <c r="I446" s="19"/>
      <c r="J446" s="19">
        <v>29950</v>
      </c>
      <c r="K446" s="19">
        <f t="shared" si="6"/>
        <v>2696</v>
      </c>
      <c r="L446" s="18"/>
      <c r="M446" s="18"/>
      <c r="N446" s="18"/>
      <c r="O446" s="26" t="s">
        <v>1036</v>
      </c>
    </row>
    <row r="447" spans="1:15" ht="15" x14ac:dyDescent="0.25">
      <c r="A447">
        <v>445</v>
      </c>
      <c r="B447" s="7" t="s">
        <v>433</v>
      </c>
      <c r="C447" s="13" t="s">
        <v>1380</v>
      </c>
      <c r="D447" s="14" t="s">
        <v>18</v>
      </c>
      <c r="E447" s="15">
        <v>25520</v>
      </c>
      <c r="F447" s="16">
        <v>22173</v>
      </c>
      <c r="G447" s="17" t="s">
        <v>6</v>
      </c>
      <c r="H447" s="18">
        <v>1</v>
      </c>
      <c r="I447" s="19">
        <f>VLOOKUP(B447,[1]Лист2!$A:$J,10,0)</f>
        <v>19332.595000000001</v>
      </c>
      <c r="J447" s="19">
        <v>21286.079999999998</v>
      </c>
      <c r="K447" s="19">
        <f t="shared" si="6"/>
        <v>-4233.9200000000019</v>
      </c>
      <c r="L447" s="18"/>
      <c r="M447" s="18"/>
      <c r="N447" s="18"/>
      <c r="O447" s="26" t="s">
        <v>1036</v>
      </c>
    </row>
    <row r="448" spans="1:15" ht="15" x14ac:dyDescent="0.25">
      <c r="A448">
        <v>446</v>
      </c>
      <c r="B448" s="8" t="s">
        <v>434</v>
      </c>
      <c r="C448" s="21" t="s">
        <v>1381</v>
      </c>
      <c r="D448" s="22" t="s">
        <v>435</v>
      </c>
      <c r="E448" s="15">
        <v>13741</v>
      </c>
      <c r="F448" s="23">
        <v>8922.06</v>
      </c>
      <c r="G448" s="24" t="s">
        <v>9</v>
      </c>
      <c r="H448" s="18">
        <v>1</v>
      </c>
      <c r="I448" s="19">
        <f>VLOOKUP(B448,[1]Лист2!$A:$J,10,0)</f>
        <v>3432.7249999999999</v>
      </c>
      <c r="J448" s="19">
        <v>8565.1775999999991</v>
      </c>
      <c r="K448" s="19">
        <f t="shared" si="6"/>
        <v>-5175.8224000000009</v>
      </c>
      <c r="L448" s="18"/>
      <c r="M448" s="18"/>
      <c r="N448" s="18"/>
      <c r="O448" s="26" t="s">
        <v>1036</v>
      </c>
    </row>
    <row r="449" spans="1:15" ht="15" x14ac:dyDescent="0.25">
      <c r="A449">
        <v>447</v>
      </c>
      <c r="B449" s="7" t="s">
        <v>436</v>
      </c>
      <c r="C449" s="13" t="s">
        <v>1382</v>
      </c>
      <c r="D449" s="14" t="s">
        <v>18</v>
      </c>
      <c r="E449" s="15">
        <v>19282</v>
      </c>
      <c r="F449" s="16">
        <v>14017</v>
      </c>
      <c r="G449" s="17" t="s">
        <v>6</v>
      </c>
      <c r="H449" s="18">
        <v>1</v>
      </c>
      <c r="I449" s="19">
        <f>VLOOKUP(B449,[1]Лист2!$A:$J,10,0)</f>
        <v>14566.18</v>
      </c>
      <c r="J449" s="29">
        <v>14711.8418</v>
      </c>
      <c r="K449" s="19">
        <f t="shared" si="6"/>
        <v>-4570.1581999999999</v>
      </c>
      <c r="L449" s="18"/>
      <c r="M449" s="18"/>
      <c r="N449" s="18"/>
      <c r="O449" s="26" t="s">
        <v>1036</v>
      </c>
    </row>
    <row r="450" spans="1:15" ht="15" x14ac:dyDescent="0.25">
      <c r="A450">
        <v>448</v>
      </c>
      <c r="B450" s="8" t="s">
        <v>437</v>
      </c>
      <c r="C450" s="21" t="s">
        <v>1383</v>
      </c>
      <c r="D450" s="22" t="s">
        <v>18</v>
      </c>
      <c r="E450" s="15">
        <v>12871</v>
      </c>
      <c r="F450" s="23">
        <v>11055</v>
      </c>
      <c r="G450" s="24" t="s">
        <v>6</v>
      </c>
      <c r="H450" s="18">
        <v>1</v>
      </c>
      <c r="I450" s="19">
        <f>VLOOKUP(B450,[1]Лист2!$A:$J,10,0)</f>
        <v>11520.56</v>
      </c>
      <c r="J450" s="29">
        <v>11635.765599999999</v>
      </c>
      <c r="K450" s="19">
        <f t="shared" si="6"/>
        <v>-1235.2344000000012</v>
      </c>
      <c r="L450" s="18"/>
      <c r="M450" s="18"/>
      <c r="N450" s="18"/>
      <c r="O450" s="26" t="s">
        <v>1036</v>
      </c>
    </row>
    <row r="451" spans="1:15" ht="15" x14ac:dyDescent="0.25">
      <c r="A451">
        <v>449</v>
      </c>
      <c r="B451" s="7" t="s">
        <v>438</v>
      </c>
      <c r="C451" s="13" t="s">
        <v>1384</v>
      </c>
      <c r="D451" s="14" t="s">
        <v>18</v>
      </c>
      <c r="E451" s="15">
        <v>49883</v>
      </c>
      <c r="F451" s="16">
        <v>34943</v>
      </c>
      <c r="G451" s="17" t="s">
        <v>6</v>
      </c>
      <c r="H451" s="18">
        <v>1</v>
      </c>
      <c r="I451" s="19">
        <f>VLOOKUP(B451,[1]Лист2!$A:$J,10,0)</f>
        <v>36565.17</v>
      </c>
      <c r="J451" s="29">
        <v>36930.8217</v>
      </c>
      <c r="K451" s="19">
        <f t="shared" ref="K451:K514" si="7">J451-E451</f>
        <v>-12952.1783</v>
      </c>
      <c r="L451" s="18"/>
      <c r="M451" s="18"/>
      <c r="N451" s="18"/>
      <c r="O451" s="26" t="s">
        <v>1036</v>
      </c>
    </row>
    <row r="452" spans="1:15" ht="15" x14ac:dyDescent="0.25">
      <c r="A452">
        <v>450</v>
      </c>
      <c r="B452" s="8" t="s">
        <v>438</v>
      </c>
      <c r="C452" s="21" t="s">
        <v>1384</v>
      </c>
      <c r="D452" s="22" t="s">
        <v>18</v>
      </c>
      <c r="E452" s="15">
        <v>66266</v>
      </c>
      <c r="F452" s="23">
        <v>34943</v>
      </c>
      <c r="G452" s="24" t="s">
        <v>6</v>
      </c>
      <c r="H452" s="18">
        <v>1</v>
      </c>
      <c r="I452" s="19">
        <f>VLOOKUP(B452,[1]Лист2!$A:$J,10,0)</f>
        <v>36565.17</v>
      </c>
      <c r="J452" s="29">
        <v>36930.8217</v>
      </c>
      <c r="K452" s="19">
        <f t="shared" si="7"/>
        <v>-29335.1783</v>
      </c>
      <c r="L452" s="18"/>
      <c r="M452" s="18"/>
      <c r="N452" s="18"/>
      <c r="O452" s="26" t="s">
        <v>1036</v>
      </c>
    </row>
    <row r="453" spans="1:15" ht="15" x14ac:dyDescent="0.25">
      <c r="A453">
        <v>451</v>
      </c>
      <c r="B453" s="7" t="s">
        <v>439</v>
      </c>
      <c r="C453" s="13" t="s">
        <v>1385</v>
      </c>
      <c r="D453" s="14" t="s">
        <v>18</v>
      </c>
      <c r="E453" s="15">
        <v>16128</v>
      </c>
      <c r="F453" s="16">
        <v>12197</v>
      </c>
      <c r="G453" s="17" t="s">
        <v>6</v>
      </c>
      <c r="H453" s="18">
        <v>1</v>
      </c>
      <c r="I453" s="19">
        <f>VLOOKUP(B453,[1]Лист2!$A:$J,10,0)</f>
        <v>10229.225</v>
      </c>
      <c r="J453" s="19">
        <v>11709.119999999999</v>
      </c>
      <c r="K453" s="19">
        <f t="shared" si="7"/>
        <v>-4418.880000000001</v>
      </c>
      <c r="L453" s="18"/>
      <c r="M453" s="18"/>
      <c r="N453" s="18"/>
      <c r="O453" s="26" t="s">
        <v>1036</v>
      </c>
    </row>
    <row r="454" spans="1:15" ht="15" x14ac:dyDescent="0.25">
      <c r="A454">
        <v>452</v>
      </c>
      <c r="B454" s="8" t="s">
        <v>440</v>
      </c>
      <c r="C454" s="21" t="s">
        <v>1386</v>
      </c>
      <c r="D454" s="22" t="s">
        <v>18</v>
      </c>
      <c r="E454" s="23">
        <v>4630</v>
      </c>
      <c r="F454" s="15">
        <v>5684</v>
      </c>
      <c r="G454" s="24" t="s">
        <v>6</v>
      </c>
      <c r="H454" s="18">
        <v>1</v>
      </c>
      <c r="I454" s="19"/>
      <c r="J454" s="19">
        <v>5456.6399999999994</v>
      </c>
      <c r="K454" s="19">
        <f t="shared" si="7"/>
        <v>826.63999999999942</v>
      </c>
      <c r="L454" s="18"/>
      <c r="M454" s="18"/>
      <c r="N454" s="18"/>
      <c r="O454" s="26" t="s">
        <v>1036</v>
      </c>
    </row>
    <row r="455" spans="1:15" ht="15" x14ac:dyDescent="0.25">
      <c r="A455">
        <v>453</v>
      </c>
      <c r="B455" s="7" t="s">
        <v>441</v>
      </c>
      <c r="C455" s="13" t="s">
        <v>1387</v>
      </c>
      <c r="D455" s="14" t="s">
        <v>18</v>
      </c>
      <c r="E455" s="15">
        <v>3665</v>
      </c>
      <c r="F455" s="16">
        <v>2016</v>
      </c>
      <c r="G455" s="17" t="s">
        <v>6</v>
      </c>
      <c r="H455" s="18">
        <v>1</v>
      </c>
      <c r="I455" s="19">
        <f>VLOOKUP(B455,[1]Лист2!$A:$J,10,0)</f>
        <v>1429.2349999999999</v>
      </c>
      <c r="J455" s="19">
        <v>1935.36</v>
      </c>
      <c r="K455" s="19">
        <f t="shared" si="7"/>
        <v>-1729.64</v>
      </c>
      <c r="L455" s="18"/>
      <c r="M455" s="18"/>
      <c r="N455" s="18"/>
      <c r="O455" s="26" t="s">
        <v>1036</v>
      </c>
    </row>
    <row r="456" spans="1:15" ht="15" x14ac:dyDescent="0.25">
      <c r="A456">
        <v>454</v>
      </c>
      <c r="B456" s="8" t="s">
        <v>442</v>
      </c>
      <c r="C456" s="21" t="s">
        <v>1388</v>
      </c>
      <c r="D456" s="22" t="s">
        <v>18</v>
      </c>
      <c r="E456" s="23">
        <v>31818</v>
      </c>
      <c r="F456" s="15">
        <v>39015</v>
      </c>
      <c r="G456" s="24" t="s">
        <v>6</v>
      </c>
      <c r="H456" s="18">
        <v>1</v>
      </c>
      <c r="I456" s="19"/>
      <c r="J456" s="19">
        <v>35753</v>
      </c>
      <c r="K456" s="19">
        <f t="shared" si="7"/>
        <v>3935</v>
      </c>
      <c r="L456" s="18"/>
      <c r="M456" s="18"/>
      <c r="N456" s="18"/>
      <c r="O456" s="26" t="s">
        <v>1036</v>
      </c>
    </row>
    <row r="457" spans="1:15" ht="15" x14ac:dyDescent="0.25">
      <c r="A457">
        <v>455</v>
      </c>
      <c r="B457" s="7" t="s">
        <v>443</v>
      </c>
      <c r="C457" s="13" t="s">
        <v>1388</v>
      </c>
      <c r="D457" s="14" t="s">
        <v>18</v>
      </c>
      <c r="E457" s="16">
        <v>33910</v>
      </c>
      <c r="F457" s="15">
        <v>41580</v>
      </c>
      <c r="G457" s="17" t="s">
        <v>6</v>
      </c>
      <c r="H457" s="18">
        <v>1</v>
      </c>
      <c r="I457" s="19"/>
      <c r="J457" s="19">
        <v>35916.800000000003</v>
      </c>
      <c r="K457" s="19">
        <f t="shared" si="7"/>
        <v>2006.8000000000029</v>
      </c>
      <c r="L457" s="18"/>
      <c r="M457" s="18"/>
      <c r="N457" s="18"/>
      <c r="O457" s="26" t="s">
        <v>1036</v>
      </c>
    </row>
    <row r="458" spans="1:15" ht="15" x14ac:dyDescent="0.25">
      <c r="A458">
        <v>456</v>
      </c>
      <c r="B458" s="8" t="s">
        <v>444</v>
      </c>
      <c r="C458" s="21" t="s">
        <v>1389</v>
      </c>
      <c r="D458" s="22" t="s">
        <v>18</v>
      </c>
      <c r="E458" s="23">
        <v>59689</v>
      </c>
      <c r="F458" s="15">
        <v>73181</v>
      </c>
      <c r="G458" s="24" t="s">
        <v>6</v>
      </c>
      <c r="H458" s="18">
        <v>1</v>
      </c>
      <c r="I458" s="19"/>
      <c r="J458" s="19">
        <v>64570</v>
      </c>
      <c r="K458" s="19">
        <f t="shared" si="7"/>
        <v>4881</v>
      </c>
      <c r="L458" s="18"/>
      <c r="M458" s="18"/>
      <c r="N458" s="18"/>
      <c r="O458" s="26" t="s">
        <v>1036</v>
      </c>
    </row>
    <row r="459" spans="1:15" ht="15" x14ac:dyDescent="0.25">
      <c r="A459">
        <v>457</v>
      </c>
      <c r="B459" s="7" t="s">
        <v>445</v>
      </c>
      <c r="C459" s="13" t="s">
        <v>1390</v>
      </c>
      <c r="D459" s="14" t="s">
        <v>18</v>
      </c>
      <c r="E459" s="15">
        <v>16160</v>
      </c>
      <c r="F459" s="16">
        <v>11498</v>
      </c>
      <c r="G459" s="17" t="s">
        <v>6</v>
      </c>
      <c r="H459" s="18">
        <v>1</v>
      </c>
      <c r="I459" s="19">
        <f>VLOOKUP(B459,[1]Лист2!$A:$J,10,0)</f>
        <v>12067.235000000001</v>
      </c>
      <c r="J459" s="29">
        <v>12187.907350000001</v>
      </c>
      <c r="K459" s="19">
        <f t="shared" si="7"/>
        <v>-3972.0926499999987</v>
      </c>
      <c r="L459" s="18"/>
      <c r="M459" s="18"/>
      <c r="N459" s="18"/>
      <c r="O459" s="26" t="s">
        <v>1036</v>
      </c>
    </row>
    <row r="460" spans="1:15" ht="15" x14ac:dyDescent="0.25">
      <c r="A460">
        <v>458</v>
      </c>
      <c r="B460" s="8" t="s">
        <v>446</v>
      </c>
      <c r="C460" s="21" t="s">
        <v>1391</v>
      </c>
      <c r="D460" s="22" t="s">
        <v>18</v>
      </c>
      <c r="E460" s="23">
        <v>1229</v>
      </c>
      <c r="F460" s="15">
        <v>1515</v>
      </c>
      <c r="G460" s="24" t="s">
        <v>6</v>
      </c>
      <c r="H460" s="18">
        <v>1</v>
      </c>
      <c r="I460" s="19"/>
      <c r="J460" s="19">
        <v>1454.3999999999999</v>
      </c>
      <c r="K460" s="19">
        <f t="shared" si="7"/>
        <v>225.39999999999986</v>
      </c>
      <c r="L460" s="18"/>
      <c r="M460" s="18"/>
      <c r="N460" s="18"/>
      <c r="O460" s="26" t="s">
        <v>1036</v>
      </c>
    </row>
    <row r="461" spans="1:15" ht="15" x14ac:dyDescent="0.25">
      <c r="A461">
        <v>459</v>
      </c>
      <c r="B461" s="7" t="s">
        <v>447</v>
      </c>
      <c r="C461" s="13" t="s">
        <v>1392</v>
      </c>
      <c r="D461" s="14" t="s">
        <v>18</v>
      </c>
      <c r="E461" s="15">
        <v>3023</v>
      </c>
      <c r="F461" s="16">
        <v>1189</v>
      </c>
      <c r="G461" s="17" t="s">
        <v>6</v>
      </c>
      <c r="H461" s="18">
        <v>1</v>
      </c>
      <c r="I461" s="19">
        <f>VLOOKUP(B461,[1]Лист2!$A:$J,10,0)</f>
        <v>584.10500000000002</v>
      </c>
      <c r="J461" s="19">
        <v>1141.44</v>
      </c>
      <c r="K461" s="19">
        <f t="shared" si="7"/>
        <v>-1881.56</v>
      </c>
      <c r="L461" s="18"/>
      <c r="M461" s="18"/>
      <c r="N461" s="18"/>
      <c r="O461" s="26" t="s">
        <v>1036</v>
      </c>
    </row>
    <row r="462" spans="1:15" ht="15" x14ac:dyDescent="0.25">
      <c r="A462">
        <v>460</v>
      </c>
      <c r="B462" s="8" t="s">
        <v>448</v>
      </c>
      <c r="C462" s="21" t="s">
        <v>1045</v>
      </c>
      <c r="D462" s="22" t="s">
        <v>18</v>
      </c>
      <c r="E462" s="15">
        <v>82425</v>
      </c>
      <c r="F462" s="23">
        <v>68374.960000000006</v>
      </c>
      <c r="G462" s="24" t="s">
        <v>78</v>
      </c>
      <c r="H462" s="18">
        <v>1</v>
      </c>
      <c r="I462" s="19"/>
      <c r="J462" s="19">
        <v>83249.25</v>
      </c>
      <c r="K462" s="19">
        <f t="shared" si="7"/>
        <v>824.25</v>
      </c>
      <c r="L462" s="18"/>
      <c r="M462" s="18"/>
      <c r="N462" s="18"/>
      <c r="O462" s="26" t="s">
        <v>1036</v>
      </c>
    </row>
    <row r="463" spans="1:15" ht="15" x14ac:dyDescent="0.25">
      <c r="A463">
        <v>461</v>
      </c>
      <c r="B463" s="7" t="s">
        <v>449</v>
      </c>
      <c r="C463" s="13" t="s">
        <v>1045</v>
      </c>
      <c r="D463" s="14" t="s">
        <v>18</v>
      </c>
      <c r="E463" s="16">
        <v>20723</v>
      </c>
      <c r="F463" s="15">
        <v>25413</v>
      </c>
      <c r="G463" s="17" t="s">
        <v>6</v>
      </c>
      <c r="H463" s="18">
        <v>1</v>
      </c>
      <c r="I463" s="19"/>
      <c r="J463" s="19">
        <v>22530</v>
      </c>
      <c r="K463" s="19">
        <f t="shared" si="7"/>
        <v>1807</v>
      </c>
      <c r="L463" s="18"/>
      <c r="M463" s="18"/>
      <c r="N463" s="18"/>
      <c r="O463" s="26" t="s">
        <v>1036</v>
      </c>
    </row>
    <row r="464" spans="1:15" ht="15" x14ac:dyDescent="0.25">
      <c r="A464">
        <v>462</v>
      </c>
      <c r="B464" s="8" t="s">
        <v>450</v>
      </c>
      <c r="C464" s="21" t="s">
        <v>1393</v>
      </c>
      <c r="D464" s="22" t="s">
        <v>18</v>
      </c>
      <c r="E464" s="15">
        <v>2652</v>
      </c>
      <c r="F464" s="23">
        <v>2006</v>
      </c>
      <c r="G464" s="24" t="s">
        <v>6</v>
      </c>
      <c r="H464" s="18">
        <v>2</v>
      </c>
      <c r="I464" s="19">
        <f>VLOOKUP(B464,[1]Лист2!$A:$J,10,0)</f>
        <v>2040.92</v>
      </c>
      <c r="J464" s="29">
        <v>2061.3292000000001</v>
      </c>
      <c r="K464" s="19">
        <f t="shared" si="7"/>
        <v>-590.67079999999987</v>
      </c>
      <c r="L464" s="18"/>
      <c r="M464" s="18"/>
      <c r="N464" s="18"/>
      <c r="O464" s="26" t="s">
        <v>1036</v>
      </c>
    </row>
    <row r="465" spans="1:15" ht="15" x14ac:dyDescent="0.25">
      <c r="A465">
        <v>463</v>
      </c>
      <c r="B465" s="7" t="s">
        <v>451</v>
      </c>
      <c r="C465" s="13" t="s">
        <v>1394</v>
      </c>
      <c r="D465" s="14" t="s">
        <v>18</v>
      </c>
      <c r="E465" s="15">
        <v>78842</v>
      </c>
      <c r="F465" s="16">
        <v>52837</v>
      </c>
      <c r="G465" s="17" t="s">
        <v>6</v>
      </c>
      <c r="H465" s="18">
        <v>1</v>
      </c>
      <c r="I465" s="19">
        <f>VLOOKUP(B465,[1]Лист2!$A:$J,10,0)</f>
        <v>64056.52</v>
      </c>
      <c r="J465" s="29">
        <v>64697.085199999994</v>
      </c>
      <c r="K465" s="19">
        <f t="shared" si="7"/>
        <v>-14144.914800000006</v>
      </c>
      <c r="L465" s="18"/>
      <c r="M465" s="18"/>
      <c r="N465" s="18"/>
      <c r="O465" s="26" t="s">
        <v>1036</v>
      </c>
    </row>
    <row r="466" spans="1:15" ht="15" x14ac:dyDescent="0.25">
      <c r="A466">
        <v>464</v>
      </c>
      <c r="B466" s="8" t="s">
        <v>451</v>
      </c>
      <c r="C466" s="21" t="s">
        <v>1394</v>
      </c>
      <c r="D466" s="22" t="s">
        <v>18</v>
      </c>
      <c r="E466" s="23">
        <v>46454</v>
      </c>
      <c r="F466" s="15">
        <v>52837</v>
      </c>
      <c r="G466" s="24" t="s">
        <v>6</v>
      </c>
      <c r="H466" s="18">
        <v>1</v>
      </c>
      <c r="I466" s="19">
        <f>VLOOKUP(B466,[1]Лист2!$A:$J,10,0)</f>
        <v>64056.52</v>
      </c>
      <c r="J466" s="29">
        <v>49500</v>
      </c>
      <c r="K466" s="19">
        <f t="shared" si="7"/>
        <v>3046</v>
      </c>
      <c r="L466" s="18"/>
      <c r="M466" s="18"/>
      <c r="N466" s="18"/>
      <c r="O466" s="26" t="s">
        <v>1036</v>
      </c>
    </row>
    <row r="467" spans="1:15" ht="15" x14ac:dyDescent="0.25">
      <c r="A467">
        <v>465</v>
      </c>
      <c r="B467" s="7" t="s">
        <v>451</v>
      </c>
      <c r="C467" s="13" t="s">
        <v>1394</v>
      </c>
      <c r="D467" s="14" t="s">
        <v>18</v>
      </c>
      <c r="E467" s="16">
        <v>52769</v>
      </c>
      <c r="F467" s="15">
        <v>52837</v>
      </c>
      <c r="G467" s="17" t="s">
        <v>6</v>
      </c>
      <c r="H467" s="18">
        <v>1</v>
      </c>
      <c r="I467" s="19">
        <f>VLOOKUP(B467,[1]Лист2!$A:$J,10,0)</f>
        <v>64056.52</v>
      </c>
      <c r="J467" s="29">
        <v>54500</v>
      </c>
      <c r="K467" s="19">
        <f t="shared" si="7"/>
        <v>1731</v>
      </c>
      <c r="L467" s="18"/>
      <c r="M467" s="18"/>
      <c r="N467" s="18"/>
      <c r="O467" s="26" t="s">
        <v>1036</v>
      </c>
    </row>
    <row r="468" spans="1:15" ht="15" x14ac:dyDescent="0.25">
      <c r="A468">
        <v>466</v>
      </c>
      <c r="B468" s="8" t="s">
        <v>451</v>
      </c>
      <c r="C468" s="21" t="s">
        <v>1394</v>
      </c>
      <c r="D468" s="22" t="s">
        <v>18</v>
      </c>
      <c r="E468" s="15">
        <v>57084</v>
      </c>
      <c r="F468" s="23">
        <v>52837</v>
      </c>
      <c r="G468" s="24" t="s">
        <v>6</v>
      </c>
      <c r="H468" s="18">
        <v>4</v>
      </c>
      <c r="I468" s="19">
        <f>VLOOKUP(B468,[1]Лист2!$A:$J,10,0)</f>
        <v>64056.52</v>
      </c>
      <c r="J468" s="29">
        <v>57500</v>
      </c>
      <c r="K468" s="19">
        <f t="shared" si="7"/>
        <v>416</v>
      </c>
      <c r="L468" s="18"/>
      <c r="M468" s="18"/>
      <c r="N468" s="18"/>
      <c r="O468" s="26" t="s">
        <v>1036</v>
      </c>
    </row>
    <row r="469" spans="1:15" ht="15" x14ac:dyDescent="0.25">
      <c r="A469">
        <v>467</v>
      </c>
      <c r="B469" s="7" t="s">
        <v>451</v>
      </c>
      <c r="C469" s="13" t="s">
        <v>1394</v>
      </c>
      <c r="D469" s="14" t="s">
        <v>18</v>
      </c>
      <c r="E469" s="15">
        <v>57084</v>
      </c>
      <c r="F469" s="16">
        <v>52837</v>
      </c>
      <c r="G469" s="17" t="s">
        <v>6</v>
      </c>
      <c r="H469" s="18">
        <v>1</v>
      </c>
      <c r="I469" s="19">
        <f>VLOOKUP(B469,[1]Лист2!$A:$J,10,0)</f>
        <v>64056.52</v>
      </c>
      <c r="J469" s="29">
        <v>57500</v>
      </c>
      <c r="K469" s="19">
        <f t="shared" si="7"/>
        <v>416</v>
      </c>
      <c r="L469" s="18"/>
      <c r="M469" s="18"/>
      <c r="N469" s="18"/>
      <c r="O469" s="26" t="s">
        <v>1036</v>
      </c>
    </row>
    <row r="470" spans="1:15" ht="15" x14ac:dyDescent="0.25">
      <c r="A470">
        <v>468</v>
      </c>
      <c r="B470" s="8" t="s">
        <v>451</v>
      </c>
      <c r="C470" s="21" t="s">
        <v>1394</v>
      </c>
      <c r="D470" s="22" t="s">
        <v>18</v>
      </c>
      <c r="E470" s="15">
        <v>78842</v>
      </c>
      <c r="F470" s="23">
        <v>52837</v>
      </c>
      <c r="G470" s="24" t="s">
        <v>6</v>
      </c>
      <c r="H470" s="18">
        <v>1</v>
      </c>
      <c r="I470" s="19">
        <f>VLOOKUP(B470,[1]Лист2!$A:$J,10,0)</f>
        <v>64056.52</v>
      </c>
      <c r="J470" s="29">
        <v>64697.085199999994</v>
      </c>
      <c r="K470" s="19">
        <f t="shared" si="7"/>
        <v>-14144.914800000006</v>
      </c>
      <c r="L470" s="18"/>
      <c r="M470" s="18"/>
      <c r="N470" s="18"/>
      <c r="O470" s="26" t="s">
        <v>1036</v>
      </c>
    </row>
    <row r="471" spans="1:15" ht="15" x14ac:dyDescent="0.25">
      <c r="A471">
        <v>469</v>
      </c>
      <c r="B471" s="7" t="s">
        <v>451</v>
      </c>
      <c r="C471" s="13" t="s">
        <v>1394</v>
      </c>
      <c r="D471" s="14" t="s">
        <v>18</v>
      </c>
      <c r="E471" s="15">
        <v>78842</v>
      </c>
      <c r="F471" s="16">
        <v>52837</v>
      </c>
      <c r="G471" s="17" t="s">
        <v>6</v>
      </c>
      <c r="H471" s="18">
        <v>6</v>
      </c>
      <c r="I471" s="19">
        <f>VLOOKUP(B471,[1]Лист2!$A:$J,10,0)</f>
        <v>64056.52</v>
      </c>
      <c r="J471" s="29">
        <v>64697.085199999994</v>
      </c>
      <c r="K471" s="19">
        <f t="shared" si="7"/>
        <v>-14144.914800000006</v>
      </c>
      <c r="L471" s="18"/>
      <c r="M471" s="18"/>
      <c r="N471" s="18"/>
      <c r="O471" s="26" t="s">
        <v>1036</v>
      </c>
    </row>
    <row r="472" spans="1:15" ht="15" x14ac:dyDescent="0.25">
      <c r="A472">
        <v>470</v>
      </c>
      <c r="B472" s="8" t="s">
        <v>452</v>
      </c>
      <c r="C472" s="21" t="s">
        <v>1395</v>
      </c>
      <c r="D472" s="22" t="s">
        <v>18</v>
      </c>
      <c r="E472" s="15">
        <v>86925</v>
      </c>
      <c r="F472" s="23">
        <v>45777</v>
      </c>
      <c r="G472" s="24" t="s">
        <v>6</v>
      </c>
      <c r="H472" s="18">
        <v>2</v>
      </c>
      <c r="I472" s="19">
        <f>VLOOKUP(B472,[1]Лист2!$A:$J,10,0)</f>
        <v>54236.07</v>
      </c>
      <c r="J472" s="29">
        <v>65775</v>
      </c>
      <c r="K472" s="19">
        <f t="shared" si="7"/>
        <v>-21150</v>
      </c>
      <c r="L472" s="18"/>
      <c r="M472" s="18"/>
      <c r="N472" s="18"/>
      <c r="O472" s="26" t="s">
        <v>1036</v>
      </c>
    </row>
    <row r="473" spans="1:15" ht="15" x14ac:dyDescent="0.25">
      <c r="A473">
        <v>471</v>
      </c>
      <c r="B473" s="7" t="s">
        <v>452</v>
      </c>
      <c r="C473" s="13" t="s">
        <v>1395</v>
      </c>
      <c r="D473" s="14" t="s">
        <v>18</v>
      </c>
      <c r="E473" s="15">
        <v>52969</v>
      </c>
      <c r="F473" s="16">
        <v>45777</v>
      </c>
      <c r="G473" s="17" t="s">
        <v>6</v>
      </c>
      <c r="H473" s="18">
        <v>1</v>
      </c>
      <c r="I473" s="19">
        <f>VLOOKUP(B473,[1]Лист2!$A:$J,10,0)</f>
        <v>54236.07</v>
      </c>
      <c r="J473" s="29">
        <v>54778.430699999997</v>
      </c>
      <c r="K473" s="19">
        <f t="shared" si="7"/>
        <v>1809.4306999999972</v>
      </c>
      <c r="L473" s="18"/>
      <c r="M473" s="18"/>
      <c r="N473" s="18"/>
      <c r="O473" s="26" t="s">
        <v>1036</v>
      </c>
    </row>
    <row r="474" spans="1:15" ht="15" x14ac:dyDescent="0.25">
      <c r="A474">
        <v>472</v>
      </c>
      <c r="B474" s="8" t="s">
        <v>453</v>
      </c>
      <c r="C474" s="21" t="s">
        <v>1395</v>
      </c>
      <c r="D474" s="22" t="s">
        <v>18</v>
      </c>
      <c r="E474" s="15">
        <v>86925</v>
      </c>
      <c r="F474" s="23">
        <v>60271</v>
      </c>
      <c r="G474" s="24" t="s">
        <v>6</v>
      </c>
      <c r="H474" s="18">
        <v>1</v>
      </c>
      <c r="I474" s="19">
        <f>VLOOKUP(B474,[1]Лист2!$A:$J,10,0)</f>
        <v>81615.13</v>
      </c>
      <c r="J474" s="29">
        <v>82431.281300000002</v>
      </c>
      <c r="K474" s="19">
        <f t="shared" si="7"/>
        <v>-4493.7186999999976</v>
      </c>
      <c r="L474" s="18"/>
      <c r="M474" s="18"/>
      <c r="N474" s="18"/>
      <c r="O474" s="26" t="s">
        <v>1036</v>
      </c>
    </row>
    <row r="475" spans="1:15" ht="15" x14ac:dyDescent="0.25">
      <c r="A475">
        <v>473</v>
      </c>
      <c r="B475" s="7" t="s">
        <v>454</v>
      </c>
      <c r="C475" s="13" t="s">
        <v>1396</v>
      </c>
      <c r="D475" s="14" t="s">
        <v>18</v>
      </c>
      <c r="E475" s="16">
        <v>67000</v>
      </c>
      <c r="F475" s="15">
        <v>72961.91</v>
      </c>
      <c r="G475" s="17" t="s">
        <v>78</v>
      </c>
      <c r="H475" s="18">
        <v>2</v>
      </c>
      <c r="I475" s="19">
        <f>VLOOKUP(B475,[1]Лист2!$A:$J,10,0)</f>
        <v>66771.179999999993</v>
      </c>
      <c r="J475" s="19">
        <v>70043.433600000004</v>
      </c>
      <c r="K475" s="19">
        <f t="shared" si="7"/>
        <v>3043.4336000000039</v>
      </c>
      <c r="L475" s="18"/>
      <c r="M475" s="18"/>
      <c r="N475" s="18"/>
      <c r="O475" s="26" t="s">
        <v>1036</v>
      </c>
    </row>
    <row r="476" spans="1:15" ht="15" x14ac:dyDescent="0.25">
      <c r="A476">
        <v>474</v>
      </c>
      <c r="B476" s="8" t="s">
        <v>454</v>
      </c>
      <c r="C476" s="21" t="s">
        <v>1396</v>
      </c>
      <c r="D476" s="22" t="s">
        <v>18</v>
      </c>
      <c r="E476" s="15">
        <v>115247</v>
      </c>
      <c r="F476" s="23">
        <v>72961.91</v>
      </c>
      <c r="G476" s="24" t="s">
        <v>78</v>
      </c>
      <c r="H476" s="18">
        <v>3</v>
      </c>
      <c r="I476" s="19">
        <f>VLOOKUP(B476,[1]Лист2!$A:$J,10,0)</f>
        <v>66771.179999999993</v>
      </c>
      <c r="J476" s="19">
        <v>84500</v>
      </c>
      <c r="K476" s="19">
        <f t="shared" si="7"/>
        <v>-30747</v>
      </c>
      <c r="L476" s="18"/>
      <c r="M476" s="18"/>
      <c r="N476" s="18"/>
      <c r="O476" s="26" t="s">
        <v>1036</v>
      </c>
    </row>
    <row r="477" spans="1:15" ht="15" x14ac:dyDescent="0.25">
      <c r="A477">
        <v>475</v>
      </c>
      <c r="B477" s="7" t="s">
        <v>454</v>
      </c>
      <c r="C477" s="13" t="s">
        <v>1396</v>
      </c>
      <c r="D477" s="14" t="s">
        <v>18</v>
      </c>
      <c r="E477" s="16">
        <v>68219</v>
      </c>
      <c r="F477" s="15">
        <v>72961.91</v>
      </c>
      <c r="G477" s="17" t="s">
        <v>78</v>
      </c>
      <c r="H477" s="18">
        <v>1</v>
      </c>
      <c r="I477" s="19">
        <f>VLOOKUP(B477,[1]Лист2!$A:$J,10,0)</f>
        <v>66771.179999999993</v>
      </c>
      <c r="J477" s="19">
        <v>70043.433600000004</v>
      </c>
      <c r="K477" s="19">
        <f t="shared" si="7"/>
        <v>1824.4336000000039</v>
      </c>
      <c r="L477" s="18"/>
      <c r="M477" s="18"/>
      <c r="N477" s="18"/>
      <c r="O477" s="26" t="s">
        <v>1036</v>
      </c>
    </row>
    <row r="478" spans="1:15" ht="15" x14ac:dyDescent="0.25">
      <c r="A478">
        <v>476</v>
      </c>
      <c r="B478" s="8" t="s">
        <v>454</v>
      </c>
      <c r="C478" s="21" t="s">
        <v>1396</v>
      </c>
      <c r="D478" s="22" t="s">
        <v>18</v>
      </c>
      <c r="E478" s="23">
        <v>67069</v>
      </c>
      <c r="F478" s="15">
        <v>72961.91</v>
      </c>
      <c r="G478" s="24" t="s">
        <v>78</v>
      </c>
      <c r="H478" s="18">
        <v>3</v>
      </c>
      <c r="I478" s="19">
        <f>VLOOKUP(B478,[1]Лист2!$A:$J,10,0)</f>
        <v>66771.179999999993</v>
      </c>
      <c r="J478" s="19">
        <v>70043.433600000004</v>
      </c>
      <c r="K478" s="19">
        <f t="shared" si="7"/>
        <v>2974.4336000000039</v>
      </c>
      <c r="L478" s="18"/>
      <c r="M478" s="18"/>
      <c r="N478" s="18"/>
      <c r="O478" s="26" t="s">
        <v>1036</v>
      </c>
    </row>
    <row r="479" spans="1:15" ht="15" x14ac:dyDescent="0.25">
      <c r="A479">
        <v>477</v>
      </c>
      <c r="B479" s="7" t="s">
        <v>454</v>
      </c>
      <c r="C479" s="13" t="s">
        <v>1396</v>
      </c>
      <c r="D479" s="14" t="s">
        <v>18</v>
      </c>
      <c r="E479" s="15">
        <v>115247</v>
      </c>
      <c r="F479" s="16">
        <v>72961.91</v>
      </c>
      <c r="G479" s="17" t="s">
        <v>78</v>
      </c>
      <c r="H479" s="18">
        <v>1</v>
      </c>
      <c r="I479" s="19">
        <f>VLOOKUP(B479,[1]Лист2!$A:$J,10,0)</f>
        <v>66771.179999999993</v>
      </c>
      <c r="J479" s="19">
        <v>84500</v>
      </c>
      <c r="K479" s="19">
        <f t="shared" si="7"/>
        <v>-30747</v>
      </c>
      <c r="L479" s="18"/>
      <c r="M479" s="18"/>
      <c r="N479" s="18"/>
      <c r="O479" s="26" t="s">
        <v>1036</v>
      </c>
    </row>
    <row r="480" spans="1:15" ht="15" x14ac:dyDescent="0.25">
      <c r="A480">
        <v>478</v>
      </c>
      <c r="B480" s="8" t="s">
        <v>454</v>
      </c>
      <c r="C480" s="21" t="s">
        <v>1396</v>
      </c>
      <c r="D480" s="22" t="s">
        <v>18</v>
      </c>
      <c r="E480" s="15">
        <v>86734</v>
      </c>
      <c r="F480" s="23">
        <v>72961.91</v>
      </c>
      <c r="G480" s="24" t="s">
        <v>78</v>
      </c>
      <c r="H480" s="18">
        <v>1</v>
      </c>
      <c r="I480" s="19">
        <f>VLOOKUP(B480,[1]Лист2!$A:$J,10,0)</f>
        <v>66771.179999999993</v>
      </c>
      <c r="J480" s="19">
        <v>70043.433600000004</v>
      </c>
      <c r="K480" s="19">
        <f t="shared" si="7"/>
        <v>-16690.566399999996</v>
      </c>
      <c r="L480" s="18"/>
      <c r="M480" s="18"/>
      <c r="N480" s="18"/>
      <c r="O480" s="26" t="s">
        <v>1036</v>
      </c>
    </row>
    <row r="481" spans="1:15" ht="15" x14ac:dyDescent="0.25">
      <c r="A481">
        <v>479</v>
      </c>
      <c r="B481" s="7" t="s">
        <v>454</v>
      </c>
      <c r="C481" s="13" t="s">
        <v>1396</v>
      </c>
      <c r="D481" s="14" t="s">
        <v>18</v>
      </c>
      <c r="E481" s="15">
        <v>81391</v>
      </c>
      <c r="F481" s="16">
        <v>72961.91</v>
      </c>
      <c r="G481" s="17" t="s">
        <v>78</v>
      </c>
      <c r="H481" s="18">
        <v>4</v>
      </c>
      <c r="I481" s="19">
        <f>VLOOKUP(B481,[1]Лист2!$A:$J,10,0)</f>
        <v>66771.179999999993</v>
      </c>
      <c r="J481" s="19">
        <v>70043.433600000004</v>
      </c>
      <c r="K481" s="19">
        <f t="shared" si="7"/>
        <v>-11347.566399999996</v>
      </c>
      <c r="L481" s="18"/>
      <c r="M481" s="18"/>
      <c r="N481" s="18"/>
      <c r="O481" s="26" t="s">
        <v>1036</v>
      </c>
    </row>
    <row r="482" spans="1:15" ht="15" x14ac:dyDescent="0.25">
      <c r="A482">
        <v>480</v>
      </c>
      <c r="B482" s="8" t="s">
        <v>454</v>
      </c>
      <c r="C482" s="21" t="s">
        <v>1396</v>
      </c>
      <c r="D482" s="22" t="s">
        <v>18</v>
      </c>
      <c r="E482" s="15">
        <v>81391</v>
      </c>
      <c r="F482" s="23">
        <v>72961.91</v>
      </c>
      <c r="G482" s="24" t="s">
        <v>78</v>
      </c>
      <c r="H482" s="18">
        <v>1</v>
      </c>
      <c r="I482" s="19">
        <f>VLOOKUP(B482,[1]Лист2!$A:$J,10,0)</f>
        <v>66771.179999999993</v>
      </c>
      <c r="J482" s="19">
        <v>70043.433600000004</v>
      </c>
      <c r="K482" s="19">
        <f t="shared" si="7"/>
        <v>-11347.566399999996</v>
      </c>
      <c r="L482" s="18"/>
      <c r="M482" s="18"/>
      <c r="N482" s="18"/>
      <c r="O482" s="26" t="s">
        <v>1036</v>
      </c>
    </row>
    <row r="483" spans="1:15" ht="15" x14ac:dyDescent="0.25">
      <c r="A483">
        <v>481</v>
      </c>
      <c r="B483" s="7" t="s">
        <v>454</v>
      </c>
      <c r="C483" s="13" t="s">
        <v>1396</v>
      </c>
      <c r="D483" s="14" t="s">
        <v>18</v>
      </c>
      <c r="E483" s="15">
        <v>115247</v>
      </c>
      <c r="F483" s="16">
        <v>72961.91</v>
      </c>
      <c r="G483" s="17" t="s">
        <v>78</v>
      </c>
      <c r="H483" s="18">
        <v>1</v>
      </c>
      <c r="I483" s="19">
        <f>VLOOKUP(B483,[1]Лист2!$A:$J,10,0)</f>
        <v>66771.179999999993</v>
      </c>
      <c r="J483" s="19">
        <v>84500</v>
      </c>
      <c r="K483" s="19">
        <f t="shared" si="7"/>
        <v>-30747</v>
      </c>
      <c r="L483" s="18"/>
      <c r="M483" s="18"/>
      <c r="N483" s="18"/>
      <c r="O483" s="26" t="s">
        <v>1036</v>
      </c>
    </row>
    <row r="484" spans="1:15" ht="15" x14ac:dyDescent="0.25">
      <c r="A484">
        <v>482</v>
      </c>
      <c r="B484" s="8" t="s">
        <v>454</v>
      </c>
      <c r="C484" s="21" t="s">
        <v>1396</v>
      </c>
      <c r="D484" s="22" t="s">
        <v>18</v>
      </c>
      <c r="E484" s="15">
        <v>115247</v>
      </c>
      <c r="F484" s="23">
        <v>72961.91</v>
      </c>
      <c r="G484" s="24" t="s">
        <v>78</v>
      </c>
      <c r="H484" s="18">
        <v>2</v>
      </c>
      <c r="I484" s="19">
        <f>VLOOKUP(B484,[1]Лист2!$A:$J,10,0)</f>
        <v>66771.179999999993</v>
      </c>
      <c r="J484" s="19">
        <v>84500</v>
      </c>
      <c r="K484" s="19">
        <f t="shared" si="7"/>
        <v>-30747</v>
      </c>
      <c r="L484" s="18"/>
      <c r="M484" s="18"/>
      <c r="N484" s="18"/>
      <c r="O484" s="26" t="s">
        <v>1036</v>
      </c>
    </row>
    <row r="485" spans="1:15" ht="15" x14ac:dyDescent="0.25">
      <c r="A485">
        <v>483</v>
      </c>
      <c r="B485" s="7" t="s">
        <v>454</v>
      </c>
      <c r="C485" s="13" t="s">
        <v>1396</v>
      </c>
      <c r="D485" s="14" t="s">
        <v>18</v>
      </c>
      <c r="E485" s="15">
        <v>115247</v>
      </c>
      <c r="F485" s="16">
        <v>72961.91</v>
      </c>
      <c r="G485" s="17" t="s">
        <v>78</v>
      </c>
      <c r="H485" s="18">
        <v>3</v>
      </c>
      <c r="I485" s="19">
        <f>VLOOKUP(B485,[1]Лист2!$A:$J,10,0)</f>
        <v>66771.179999999993</v>
      </c>
      <c r="J485" s="19">
        <v>84500</v>
      </c>
      <c r="K485" s="19">
        <f t="shared" si="7"/>
        <v>-30747</v>
      </c>
      <c r="L485" s="18"/>
      <c r="M485" s="18"/>
      <c r="N485" s="18"/>
      <c r="O485" s="26" t="s">
        <v>1036</v>
      </c>
    </row>
    <row r="486" spans="1:15" ht="15" x14ac:dyDescent="0.25">
      <c r="A486">
        <v>484</v>
      </c>
      <c r="B486" s="8" t="s">
        <v>454</v>
      </c>
      <c r="C486" s="21" t="s">
        <v>1396</v>
      </c>
      <c r="D486" s="22" t="s">
        <v>18</v>
      </c>
      <c r="E486" s="15">
        <v>115247</v>
      </c>
      <c r="F486" s="23">
        <v>72961.91</v>
      </c>
      <c r="G486" s="24" t="s">
        <v>78</v>
      </c>
      <c r="H486" s="18">
        <v>3</v>
      </c>
      <c r="I486" s="19">
        <f>VLOOKUP(B486,[1]Лист2!$A:$J,10,0)</f>
        <v>66771.179999999993</v>
      </c>
      <c r="J486" s="19">
        <v>84500</v>
      </c>
      <c r="K486" s="19">
        <f t="shared" si="7"/>
        <v>-30747</v>
      </c>
      <c r="L486" s="18"/>
      <c r="M486" s="18"/>
      <c r="N486" s="18"/>
      <c r="O486" s="26" t="s">
        <v>1036</v>
      </c>
    </row>
    <row r="487" spans="1:15" ht="15" x14ac:dyDescent="0.25">
      <c r="A487">
        <v>485</v>
      </c>
      <c r="B487" s="7" t="s">
        <v>455</v>
      </c>
      <c r="C487" s="13" t="s">
        <v>1397</v>
      </c>
      <c r="D487" s="14" t="s">
        <v>18</v>
      </c>
      <c r="E487" s="15">
        <v>80732</v>
      </c>
      <c r="F487" s="16">
        <v>63709</v>
      </c>
      <c r="G487" s="17" t="s">
        <v>6</v>
      </c>
      <c r="H487" s="18">
        <v>4</v>
      </c>
      <c r="I487" s="19">
        <f>VLOOKUP(B487,[1]Лист2!$A:$J,10,0)</f>
        <v>65712.304999999993</v>
      </c>
      <c r="J487" s="29">
        <v>66369.428049999988</v>
      </c>
      <c r="K487" s="19">
        <f t="shared" si="7"/>
        <v>-14362.571950000012</v>
      </c>
      <c r="L487" s="18"/>
      <c r="M487" s="18"/>
      <c r="N487" s="18"/>
      <c r="O487" s="26" t="s">
        <v>1036</v>
      </c>
    </row>
    <row r="488" spans="1:15" ht="15" x14ac:dyDescent="0.25">
      <c r="A488">
        <v>486</v>
      </c>
      <c r="B488" s="8" t="s">
        <v>455</v>
      </c>
      <c r="C488" s="21" t="s">
        <v>1397</v>
      </c>
      <c r="D488" s="22" t="s">
        <v>18</v>
      </c>
      <c r="E488" s="15">
        <v>106679</v>
      </c>
      <c r="F488" s="23">
        <v>63709</v>
      </c>
      <c r="G488" s="24" t="s">
        <v>6</v>
      </c>
      <c r="H488" s="18">
        <v>1</v>
      </c>
      <c r="I488" s="19">
        <f>VLOOKUP(B488,[1]Лист2!$A:$J,10,0)</f>
        <v>65712.304999999993</v>
      </c>
      <c r="J488" s="29">
        <v>75523</v>
      </c>
      <c r="K488" s="19">
        <f t="shared" si="7"/>
        <v>-31156</v>
      </c>
      <c r="L488" s="18"/>
      <c r="M488" s="18"/>
      <c r="N488" s="18"/>
      <c r="O488" s="26" t="s">
        <v>1036</v>
      </c>
    </row>
    <row r="489" spans="1:15" ht="15" x14ac:dyDescent="0.25">
      <c r="A489">
        <v>487</v>
      </c>
      <c r="B489" s="7" t="s">
        <v>456</v>
      </c>
      <c r="C489" s="13" t="s">
        <v>1397</v>
      </c>
      <c r="D489" s="14" t="s">
        <v>18</v>
      </c>
      <c r="E489" s="15">
        <v>87200</v>
      </c>
      <c r="F489" s="16">
        <v>69023</v>
      </c>
      <c r="G489" s="17" t="s">
        <v>6</v>
      </c>
      <c r="H489" s="18">
        <v>1</v>
      </c>
      <c r="I489" s="19">
        <f>VLOOKUP(B489,[1]Лист2!$A:$J,10,0)</f>
        <v>66343.69</v>
      </c>
      <c r="J489" s="29">
        <v>67007.126900000003</v>
      </c>
      <c r="K489" s="19">
        <f t="shared" si="7"/>
        <v>-20192.873099999997</v>
      </c>
      <c r="L489" s="18"/>
      <c r="M489" s="18"/>
      <c r="N489" s="18"/>
      <c r="O489" s="26" t="s">
        <v>1036</v>
      </c>
    </row>
    <row r="490" spans="1:15" ht="15" x14ac:dyDescent="0.25">
      <c r="A490">
        <v>488</v>
      </c>
      <c r="B490" s="8" t="s">
        <v>456</v>
      </c>
      <c r="C490" s="21" t="s">
        <v>1397</v>
      </c>
      <c r="D490" s="22" t="s">
        <v>18</v>
      </c>
      <c r="E490" s="15">
        <v>72405</v>
      </c>
      <c r="F490" s="23">
        <v>69023</v>
      </c>
      <c r="G490" s="24" t="s">
        <v>6</v>
      </c>
      <c r="H490" s="18">
        <v>1</v>
      </c>
      <c r="I490" s="19">
        <f>VLOOKUP(B490,[1]Лист2!$A:$J,10,0)</f>
        <v>66343.69</v>
      </c>
      <c r="J490" s="29">
        <v>67007.126900000003</v>
      </c>
      <c r="K490" s="19">
        <f t="shared" si="7"/>
        <v>-5397.8730999999971</v>
      </c>
      <c r="L490" s="18"/>
      <c r="M490" s="18"/>
      <c r="N490" s="18"/>
      <c r="O490" s="26" t="s">
        <v>1036</v>
      </c>
    </row>
    <row r="491" spans="1:15" ht="15" x14ac:dyDescent="0.25">
      <c r="A491">
        <v>489</v>
      </c>
      <c r="B491" s="7" t="s">
        <v>456</v>
      </c>
      <c r="C491" s="13" t="s">
        <v>1397</v>
      </c>
      <c r="D491" s="14" t="s">
        <v>18</v>
      </c>
      <c r="E491" s="15">
        <v>70684</v>
      </c>
      <c r="F491" s="16">
        <v>69023</v>
      </c>
      <c r="G491" s="17" t="s">
        <v>6</v>
      </c>
      <c r="H491" s="18">
        <v>3</v>
      </c>
      <c r="I491" s="19">
        <f>VLOOKUP(B491,[1]Лист2!$A:$J,10,0)</f>
        <v>66343.69</v>
      </c>
      <c r="J491" s="29">
        <v>67007.126900000003</v>
      </c>
      <c r="K491" s="19">
        <f t="shared" si="7"/>
        <v>-3676.8730999999971</v>
      </c>
      <c r="L491" s="18"/>
      <c r="M491" s="18"/>
      <c r="N491" s="18"/>
      <c r="O491" s="26" t="s">
        <v>1036</v>
      </c>
    </row>
    <row r="492" spans="1:15" ht="15" x14ac:dyDescent="0.25">
      <c r="A492">
        <v>490</v>
      </c>
      <c r="B492" s="8">
        <v>51317440773</v>
      </c>
      <c r="C492" s="21" t="s">
        <v>1397</v>
      </c>
      <c r="D492" s="22" t="s">
        <v>18</v>
      </c>
      <c r="E492" s="15">
        <v>130971</v>
      </c>
      <c r="F492" s="23">
        <v>69023</v>
      </c>
      <c r="G492" s="24" t="s">
        <v>6</v>
      </c>
      <c r="H492" s="18">
        <v>1</v>
      </c>
      <c r="I492" s="19" t="e">
        <f>VLOOKUP(B492,[1]Лист2!$A:$J,10,0)</f>
        <v>#N/A</v>
      </c>
      <c r="J492" s="29">
        <v>85000</v>
      </c>
      <c r="K492" s="19">
        <f t="shared" si="7"/>
        <v>-45971</v>
      </c>
      <c r="L492" s="18"/>
      <c r="M492" s="18"/>
      <c r="N492" s="18"/>
      <c r="O492" s="26" t="s">
        <v>1036</v>
      </c>
    </row>
    <row r="493" spans="1:15" ht="15" x14ac:dyDescent="0.25">
      <c r="A493">
        <v>491</v>
      </c>
      <c r="B493" s="7" t="s">
        <v>456</v>
      </c>
      <c r="C493" s="13" t="s">
        <v>1397</v>
      </c>
      <c r="D493" s="14" t="s">
        <v>18</v>
      </c>
      <c r="E493" s="15">
        <v>118204</v>
      </c>
      <c r="F493" s="16">
        <v>69023</v>
      </c>
      <c r="G493" s="17" t="s">
        <v>6</v>
      </c>
      <c r="H493" s="18">
        <v>1</v>
      </c>
      <c r="I493" s="19">
        <f>VLOOKUP(B493,[1]Лист2!$A:$J,10,0)</f>
        <v>66343.69</v>
      </c>
      <c r="J493" s="29">
        <v>85500</v>
      </c>
      <c r="K493" s="19">
        <f t="shared" si="7"/>
        <v>-32704</v>
      </c>
      <c r="L493" s="18"/>
      <c r="M493" s="18"/>
      <c r="N493" s="18"/>
      <c r="O493" s="26" t="s">
        <v>1036</v>
      </c>
    </row>
    <row r="494" spans="1:15" ht="15" x14ac:dyDescent="0.25">
      <c r="A494">
        <v>492</v>
      </c>
      <c r="B494" s="8" t="s">
        <v>456</v>
      </c>
      <c r="C494" s="21" t="s">
        <v>1397</v>
      </c>
      <c r="D494" s="22" t="s">
        <v>18</v>
      </c>
      <c r="E494" s="15">
        <v>118204</v>
      </c>
      <c r="F494" s="23">
        <v>69023</v>
      </c>
      <c r="G494" s="24" t="s">
        <v>6</v>
      </c>
      <c r="H494" s="18">
        <v>13</v>
      </c>
      <c r="I494" s="19">
        <f>VLOOKUP(B494,[1]Лист2!$A:$J,10,0)</f>
        <v>66343.69</v>
      </c>
      <c r="J494" s="29">
        <v>85500</v>
      </c>
      <c r="K494" s="19">
        <f t="shared" si="7"/>
        <v>-32704</v>
      </c>
      <c r="L494" s="18"/>
      <c r="M494" s="18"/>
      <c r="N494" s="18"/>
      <c r="O494" s="26" t="s">
        <v>1036</v>
      </c>
    </row>
    <row r="495" spans="1:15" ht="15" x14ac:dyDescent="0.25">
      <c r="A495">
        <v>493</v>
      </c>
      <c r="B495" s="7" t="s">
        <v>457</v>
      </c>
      <c r="C495" s="13" t="s">
        <v>1397</v>
      </c>
      <c r="D495" s="14" t="s">
        <v>18</v>
      </c>
      <c r="E495" s="15">
        <v>69597</v>
      </c>
      <c r="F495" s="16">
        <v>64350</v>
      </c>
      <c r="G495" s="17" t="s">
        <v>6</v>
      </c>
      <c r="H495" s="18">
        <v>3</v>
      </c>
      <c r="I495" s="19">
        <f>VLOOKUP(B495,[1]Лист2!$A:$J,10,0)</f>
        <v>65556.675000000003</v>
      </c>
      <c r="J495" s="29">
        <v>66212.241750000001</v>
      </c>
      <c r="K495" s="19">
        <f t="shared" si="7"/>
        <v>-3384.758249999999</v>
      </c>
      <c r="L495" s="18"/>
      <c r="M495" s="18"/>
      <c r="N495" s="18"/>
      <c r="O495" s="26" t="s">
        <v>1036</v>
      </c>
    </row>
    <row r="496" spans="1:15" ht="15" x14ac:dyDescent="0.25">
      <c r="A496">
        <v>494</v>
      </c>
      <c r="B496" s="8" t="s">
        <v>457</v>
      </c>
      <c r="C496" s="21" t="s">
        <v>1397</v>
      </c>
      <c r="D496" s="22" t="s">
        <v>18</v>
      </c>
      <c r="E496" s="15">
        <v>64435</v>
      </c>
      <c r="F496" s="23">
        <v>64350</v>
      </c>
      <c r="G496" s="24" t="s">
        <v>6</v>
      </c>
      <c r="H496" s="18">
        <v>2</v>
      </c>
      <c r="I496" s="19">
        <f>VLOOKUP(B496,[1]Лист2!$A:$J,10,0)</f>
        <v>65556.675000000003</v>
      </c>
      <c r="J496" s="29">
        <v>66212.241750000001</v>
      </c>
      <c r="K496" s="19">
        <f t="shared" si="7"/>
        <v>1777.241750000001</v>
      </c>
      <c r="L496" s="18"/>
      <c r="M496" s="18"/>
      <c r="N496" s="18"/>
      <c r="O496" s="26" t="s">
        <v>1036</v>
      </c>
    </row>
    <row r="497" spans="1:15" ht="15" x14ac:dyDescent="0.25">
      <c r="A497">
        <v>495</v>
      </c>
      <c r="B497" s="7" t="s">
        <v>458</v>
      </c>
      <c r="C497" s="13" t="s">
        <v>1398</v>
      </c>
      <c r="D497" s="14" t="s">
        <v>18</v>
      </c>
      <c r="E497" s="15">
        <v>4276</v>
      </c>
      <c r="F497" s="16">
        <v>2050</v>
      </c>
      <c r="G497" s="17" t="s">
        <v>6</v>
      </c>
      <c r="H497" s="18">
        <v>1</v>
      </c>
      <c r="I497" s="19">
        <f>VLOOKUP(B497,[1]Лист2!$A:$J,10,0)</f>
        <v>1419.385</v>
      </c>
      <c r="J497" s="19">
        <v>1968</v>
      </c>
      <c r="K497" s="19">
        <f t="shared" si="7"/>
        <v>-2308</v>
      </c>
      <c r="L497" s="18"/>
      <c r="M497" s="18"/>
      <c r="N497" s="18"/>
      <c r="O497" s="26" t="s">
        <v>1036</v>
      </c>
    </row>
    <row r="498" spans="1:15" ht="15" x14ac:dyDescent="0.25">
      <c r="A498">
        <v>496</v>
      </c>
      <c r="B498" s="8" t="s">
        <v>459</v>
      </c>
      <c r="C498" s="21" t="s">
        <v>1399</v>
      </c>
      <c r="D498" s="22" t="s">
        <v>18</v>
      </c>
      <c r="E498" s="15">
        <v>4536</v>
      </c>
      <c r="F498" s="23">
        <v>2041</v>
      </c>
      <c r="G498" s="24" t="s">
        <v>6</v>
      </c>
      <c r="H498" s="18">
        <v>1</v>
      </c>
      <c r="I498" s="19">
        <f>VLOOKUP(B498,[1]Лист2!$A:$J,10,0)</f>
        <v>2130.5549999999998</v>
      </c>
      <c r="J498" s="29">
        <v>2151.8605499999999</v>
      </c>
      <c r="K498" s="19">
        <f t="shared" si="7"/>
        <v>-2384.1394500000001</v>
      </c>
      <c r="L498" s="18"/>
      <c r="M498" s="18"/>
      <c r="N498" s="18"/>
      <c r="O498" s="26" t="s">
        <v>1036</v>
      </c>
    </row>
    <row r="499" spans="1:15" ht="15" x14ac:dyDescent="0.25">
      <c r="A499">
        <v>497</v>
      </c>
      <c r="B499" s="7" t="s">
        <v>460</v>
      </c>
      <c r="C499" s="13" t="s">
        <v>1400</v>
      </c>
      <c r="D499" s="14" t="s">
        <v>18</v>
      </c>
      <c r="E499" s="16">
        <v>2682</v>
      </c>
      <c r="F499" s="15">
        <v>3296</v>
      </c>
      <c r="G499" s="17" t="s">
        <v>6</v>
      </c>
      <c r="H499" s="18">
        <v>1</v>
      </c>
      <c r="I499" s="19">
        <f>VLOOKUP(B499,[1]Лист2!$A:$J,10,0)</f>
        <v>580.16499999999996</v>
      </c>
      <c r="J499" s="19">
        <v>3164.16</v>
      </c>
      <c r="K499" s="19">
        <f t="shared" si="7"/>
        <v>482.15999999999985</v>
      </c>
      <c r="L499" s="18"/>
      <c r="M499" s="18"/>
      <c r="N499" s="18"/>
      <c r="O499" s="26" t="s">
        <v>1036</v>
      </c>
    </row>
    <row r="500" spans="1:15" ht="15" x14ac:dyDescent="0.25">
      <c r="A500">
        <v>498</v>
      </c>
      <c r="B500" s="8" t="s">
        <v>461</v>
      </c>
      <c r="C500" s="21" t="s">
        <v>1401</v>
      </c>
      <c r="D500" s="22" t="s">
        <v>18</v>
      </c>
      <c r="E500" s="23">
        <v>3538</v>
      </c>
      <c r="F500" s="15">
        <v>4346</v>
      </c>
      <c r="G500" s="24" t="s">
        <v>6</v>
      </c>
      <c r="H500" s="18">
        <v>1</v>
      </c>
      <c r="I500" s="19"/>
      <c r="J500" s="19">
        <v>4172.16</v>
      </c>
      <c r="K500" s="19">
        <f t="shared" si="7"/>
        <v>634.15999999999985</v>
      </c>
      <c r="L500" s="18"/>
      <c r="M500" s="18"/>
      <c r="N500" s="18"/>
      <c r="O500" s="26" t="s">
        <v>1036</v>
      </c>
    </row>
    <row r="501" spans="1:15" ht="15" x14ac:dyDescent="0.25">
      <c r="A501">
        <v>499</v>
      </c>
      <c r="B501" s="7" t="s">
        <v>462</v>
      </c>
      <c r="C501" s="13" t="s">
        <v>1402</v>
      </c>
      <c r="D501" s="14" t="s">
        <v>18</v>
      </c>
      <c r="E501" s="15">
        <v>3538</v>
      </c>
      <c r="F501" s="16">
        <v>3404</v>
      </c>
      <c r="G501" s="17" t="s">
        <v>6</v>
      </c>
      <c r="H501" s="18">
        <v>1</v>
      </c>
      <c r="I501" s="19"/>
      <c r="J501" s="19">
        <v>3573.38</v>
      </c>
      <c r="K501" s="19">
        <f t="shared" si="7"/>
        <v>35.380000000000109</v>
      </c>
      <c r="L501" s="18"/>
      <c r="M501" s="18"/>
      <c r="N501" s="18"/>
      <c r="O501" s="26" t="s">
        <v>1036</v>
      </c>
    </row>
    <row r="502" spans="1:15" ht="15" x14ac:dyDescent="0.25">
      <c r="A502">
        <v>500</v>
      </c>
      <c r="B502" s="8" t="s">
        <v>463</v>
      </c>
      <c r="C502" s="21" t="s">
        <v>1403</v>
      </c>
      <c r="D502" s="22" t="s">
        <v>18</v>
      </c>
      <c r="E502" s="15">
        <v>4276</v>
      </c>
      <c r="F502" s="23">
        <v>2053</v>
      </c>
      <c r="G502" s="24" t="s">
        <v>6</v>
      </c>
      <c r="H502" s="18">
        <v>1</v>
      </c>
      <c r="I502" s="19">
        <f>VLOOKUP(B502,[1]Лист2!$A:$J,10,0)</f>
        <v>2141.39</v>
      </c>
      <c r="J502" s="29">
        <v>2162.8038999999999</v>
      </c>
      <c r="K502" s="19">
        <f t="shared" si="7"/>
        <v>-2113.1961000000001</v>
      </c>
      <c r="L502" s="18"/>
      <c r="M502" s="18"/>
      <c r="N502" s="18"/>
      <c r="O502" s="26" t="s">
        <v>1036</v>
      </c>
    </row>
    <row r="503" spans="1:15" ht="15" x14ac:dyDescent="0.25">
      <c r="A503">
        <v>501</v>
      </c>
      <c r="B503" s="7" t="s">
        <v>464</v>
      </c>
      <c r="C503" s="13" t="s">
        <v>1404</v>
      </c>
      <c r="D503" s="14" t="s">
        <v>18</v>
      </c>
      <c r="E503" s="15">
        <v>10404</v>
      </c>
      <c r="F503" s="16">
        <v>3021</v>
      </c>
      <c r="G503" s="17" t="s">
        <v>6</v>
      </c>
      <c r="H503" s="18">
        <v>1</v>
      </c>
      <c r="I503" s="19">
        <f>VLOOKUP(B503,[1]Лист2!$A:$J,10,0)</f>
        <v>3330.2849999999999</v>
      </c>
      <c r="J503" s="29">
        <v>3363.5878499999999</v>
      </c>
      <c r="K503" s="19">
        <f t="shared" si="7"/>
        <v>-7040.4121500000001</v>
      </c>
      <c r="L503" s="18"/>
      <c r="M503" s="18"/>
      <c r="N503" s="18"/>
      <c r="O503" s="26" t="s">
        <v>1036</v>
      </c>
    </row>
    <row r="504" spans="1:15" ht="15" x14ac:dyDescent="0.25">
      <c r="A504">
        <v>502</v>
      </c>
      <c r="B504" s="8" t="s">
        <v>465</v>
      </c>
      <c r="C504" s="21" t="s">
        <v>1405</v>
      </c>
      <c r="D504" s="22" t="s">
        <v>18</v>
      </c>
      <c r="E504" s="23">
        <v>8724</v>
      </c>
      <c r="F504" s="15">
        <v>10704</v>
      </c>
      <c r="G504" s="24" t="s">
        <v>6</v>
      </c>
      <c r="H504" s="18">
        <v>1</v>
      </c>
      <c r="I504" s="19">
        <f>VLOOKUP(B504,[1]Лист2!$A:$J,10,0)</f>
        <v>3865.14</v>
      </c>
      <c r="J504" s="19">
        <v>10275.84</v>
      </c>
      <c r="K504" s="19">
        <f t="shared" si="7"/>
        <v>1551.8400000000001</v>
      </c>
      <c r="L504" s="18"/>
      <c r="M504" s="18"/>
      <c r="N504" s="18"/>
      <c r="O504" s="26" t="s">
        <v>1036</v>
      </c>
    </row>
    <row r="505" spans="1:15" ht="15" x14ac:dyDescent="0.25">
      <c r="A505">
        <v>503</v>
      </c>
      <c r="B505" s="7" t="s">
        <v>466</v>
      </c>
      <c r="C505" s="13" t="s">
        <v>1406</v>
      </c>
      <c r="D505" s="14" t="s">
        <v>18</v>
      </c>
      <c r="E505" s="16">
        <v>4068</v>
      </c>
      <c r="F505" s="15">
        <v>4996</v>
      </c>
      <c r="G505" s="17" t="s">
        <v>6</v>
      </c>
      <c r="H505" s="18">
        <v>1</v>
      </c>
      <c r="I505" s="19"/>
      <c r="J505" s="19">
        <v>4796.16</v>
      </c>
      <c r="K505" s="19">
        <f t="shared" si="7"/>
        <v>728.15999999999985</v>
      </c>
      <c r="L505" s="18"/>
      <c r="M505" s="18"/>
      <c r="N505" s="18"/>
      <c r="O505" s="26" t="s">
        <v>1036</v>
      </c>
    </row>
    <row r="506" spans="1:15" ht="15" x14ac:dyDescent="0.25">
      <c r="A506">
        <v>504</v>
      </c>
      <c r="B506" s="8" t="s">
        <v>467</v>
      </c>
      <c r="C506" s="21" t="s">
        <v>1407</v>
      </c>
      <c r="D506" s="22" t="s">
        <v>18</v>
      </c>
      <c r="E506" s="15">
        <v>8655</v>
      </c>
      <c r="F506" s="23">
        <v>5984</v>
      </c>
      <c r="G506" s="24" t="s">
        <v>6</v>
      </c>
      <c r="H506" s="18">
        <v>1</v>
      </c>
      <c r="I506" s="19">
        <f>VLOOKUP(B506,[1]Лист2!$A:$J,10,0)</f>
        <v>6255.7349999999997</v>
      </c>
      <c r="J506" s="29">
        <v>6318.2923499999997</v>
      </c>
      <c r="K506" s="19">
        <f t="shared" si="7"/>
        <v>-2336.7076500000003</v>
      </c>
      <c r="L506" s="18"/>
      <c r="M506" s="18"/>
      <c r="N506" s="18"/>
      <c r="O506" s="26" t="s">
        <v>1036</v>
      </c>
    </row>
    <row r="507" spans="1:15" ht="15" x14ac:dyDescent="0.25">
      <c r="A507">
        <v>505</v>
      </c>
      <c r="B507" s="7" t="s">
        <v>468</v>
      </c>
      <c r="C507" s="13" t="s">
        <v>1408</v>
      </c>
      <c r="D507" s="14" t="s">
        <v>18</v>
      </c>
      <c r="E507" s="16">
        <v>5358</v>
      </c>
      <c r="F507" s="15">
        <v>6576</v>
      </c>
      <c r="G507" s="17" t="s">
        <v>6</v>
      </c>
      <c r="H507" s="18">
        <v>1</v>
      </c>
      <c r="I507" s="19"/>
      <c r="J507" s="19">
        <v>6312.96</v>
      </c>
      <c r="K507" s="19">
        <f t="shared" si="7"/>
        <v>954.96</v>
      </c>
      <c r="L507" s="18"/>
      <c r="M507" s="18"/>
      <c r="N507" s="18"/>
      <c r="O507" s="26" t="s">
        <v>1036</v>
      </c>
    </row>
    <row r="508" spans="1:15" ht="15" x14ac:dyDescent="0.25">
      <c r="A508">
        <v>506</v>
      </c>
      <c r="B508" s="8" t="s">
        <v>469</v>
      </c>
      <c r="C508" s="21" t="s">
        <v>1409</v>
      </c>
      <c r="D508" s="22" t="s">
        <v>18</v>
      </c>
      <c r="E508" s="23">
        <v>3332</v>
      </c>
      <c r="F508" s="15">
        <v>4092</v>
      </c>
      <c r="G508" s="24" t="s">
        <v>6</v>
      </c>
      <c r="H508" s="18">
        <v>1</v>
      </c>
      <c r="I508" s="19"/>
      <c r="J508" s="19">
        <v>3928.3199999999997</v>
      </c>
      <c r="K508" s="19">
        <f t="shared" si="7"/>
        <v>596.31999999999971</v>
      </c>
      <c r="L508" s="18"/>
      <c r="M508" s="18"/>
      <c r="N508" s="18"/>
      <c r="O508" s="26" t="s">
        <v>1036</v>
      </c>
    </row>
    <row r="509" spans="1:15" ht="15" x14ac:dyDescent="0.25">
      <c r="A509">
        <v>507</v>
      </c>
      <c r="B509" s="7" t="s">
        <v>470</v>
      </c>
      <c r="C509" s="13" t="s">
        <v>1410</v>
      </c>
      <c r="D509" s="14" t="s">
        <v>18</v>
      </c>
      <c r="E509" s="16">
        <v>2516</v>
      </c>
      <c r="F509" s="15">
        <v>3093</v>
      </c>
      <c r="G509" s="17" t="s">
        <v>6</v>
      </c>
      <c r="H509" s="18">
        <v>1</v>
      </c>
      <c r="I509" s="19"/>
      <c r="J509" s="19">
        <v>2969.2799999999997</v>
      </c>
      <c r="K509" s="19">
        <f t="shared" si="7"/>
        <v>453.27999999999975</v>
      </c>
      <c r="L509" s="18"/>
      <c r="M509" s="18"/>
      <c r="N509" s="18"/>
      <c r="O509" s="26" t="s">
        <v>1036</v>
      </c>
    </row>
    <row r="510" spans="1:15" ht="15" x14ac:dyDescent="0.25">
      <c r="A510">
        <v>508</v>
      </c>
      <c r="B510" s="8" t="s">
        <v>471</v>
      </c>
      <c r="C510" s="21" t="s">
        <v>1411</v>
      </c>
      <c r="D510" s="22" t="s">
        <v>18</v>
      </c>
      <c r="E510" s="23">
        <v>4096</v>
      </c>
      <c r="F510" s="15">
        <v>5029</v>
      </c>
      <c r="G510" s="24" t="s">
        <v>6</v>
      </c>
      <c r="H510" s="18">
        <v>1</v>
      </c>
      <c r="I510" s="19"/>
      <c r="J510" s="19">
        <v>4827.84</v>
      </c>
      <c r="K510" s="19">
        <f t="shared" si="7"/>
        <v>731.84000000000015</v>
      </c>
      <c r="L510" s="18"/>
      <c r="M510" s="18"/>
      <c r="N510" s="18"/>
      <c r="O510" s="26" t="s">
        <v>1036</v>
      </c>
    </row>
    <row r="511" spans="1:15" ht="15" x14ac:dyDescent="0.25">
      <c r="A511">
        <v>509</v>
      </c>
      <c r="B511" s="7" t="s">
        <v>472</v>
      </c>
      <c r="C511" s="13" t="s">
        <v>1412</v>
      </c>
      <c r="D511" s="14" t="s">
        <v>18</v>
      </c>
      <c r="E511" s="16">
        <v>2142</v>
      </c>
      <c r="F511" s="15">
        <v>2634</v>
      </c>
      <c r="G511" s="17" t="s">
        <v>6</v>
      </c>
      <c r="H511" s="18">
        <v>1</v>
      </c>
      <c r="I511" s="19"/>
      <c r="J511" s="19">
        <v>2528.64</v>
      </c>
      <c r="K511" s="19">
        <f t="shared" si="7"/>
        <v>386.63999999999987</v>
      </c>
      <c r="L511" s="18"/>
      <c r="M511" s="18"/>
      <c r="N511" s="18"/>
      <c r="O511" s="26" t="s">
        <v>1036</v>
      </c>
    </row>
    <row r="512" spans="1:15" ht="15" x14ac:dyDescent="0.25">
      <c r="A512">
        <v>510</v>
      </c>
      <c r="B512" s="8" t="s">
        <v>473</v>
      </c>
      <c r="C512" s="21" t="s">
        <v>1413</v>
      </c>
      <c r="D512" s="22" t="s">
        <v>18</v>
      </c>
      <c r="E512" s="23">
        <v>1367</v>
      </c>
      <c r="F512" s="15">
        <v>1685</v>
      </c>
      <c r="G512" s="24" t="s">
        <v>6</v>
      </c>
      <c r="H512" s="18">
        <v>1</v>
      </c>
      <c r="I512" s="19"/>
      <c r="J512" s="19">
        <v>1617.6</v>
      </c>
      <c r="K512" s="19">
        <f t="shared" si="7"/>
        <v>250.59999999999991</v>
      </c>
      <c r="L512" s="18"/>
      <c r="M512" s="18"/>
      <c r="N512" s="18"/>
      <c r="O512" s="26" t="s">
        <v>1036</v>
      </c>
    </row>
    <row r="513" spans="1:15" ht="15" x14ac:dyDescent="0.25">
      <c r="A513">
        <v>511</v>
      </c>
      <c r="B513" s="7" t="s">
        <v>474</v>
      </c>
      <c r="C513" s="13" t="s">
        <v>1414</v>
      </c>
      <c r="D513" s="14" t="s">
        <v>18</v>
      </c>
      <c r="E513" s="16">
        <v>452</v>
      </c>
      <c r="F513" s="15">
        <v>562</v>
      </c>
      <c r="G513" s="17" t="s">
        <v>6</v>
      </c>
      <c r="H513" s="18">
        <v>1</v>
      </c>
      <c r="I513" s="19">
        <f>VLOOKUP(B513,[1]Лист2!$A:$J,10,0)</f>
        <v>255.11500000000001</v>
      </c>
      <c r="J513" s="19">
        <v>539.52</v>
      </c>
      <c r="K513" s="19">
        <f t="shared" si="7"/>
        <v>87.519999999999982</v>
      </c>
      <c r="L513" s="18"/>
      <c r="M513" s="18"/>
      <c r="N513" s="18"/>
      <c r="O513" s="26" t="s">
        <v>1036</v>
      </c>
    </row>
    <row r="514" spans="1:15" ht="15" x14ac:dyDescent="0.25">
      <c r="A514">
        <v>512</v>
      </c>
      <c r="B514" s="8" t="s">
        <v>475</v>
      </c>
      <c r="C514" s="21" t="s">
        <v>1415</v>
      </c>
      <c r="D514" s="22" t="s">
        <v>18</v>
      </c>
      <c r="E514" s="23">
        <v>2318</v>
      </c>
      <c r="F514" s="15">
        <v>2851</v>
      </c>
      <c r="G514" s="24" t="s">
        <v>6</v>
      </c>
      <c r="H514" s="18">
        <v>1</v>
      </c>
      <c r="I514" s="19"/>
      <c r="J514" s="19">
        <v>2736.96</v>
      </c>
      <c r="K514" s="19">
        <f t="shared" si="7"/>
        <v>418.96000000000004</v>
      </c>
      <c r="L514" s="18"/>
      <c r="M514" s="18"/>
      <c r="N514" s="18"/>
      <c r="O514" s="26" t="s">
        <v>1036</v>
      </c>
    </row>
    <row r="515" spans="1:15" ht="15" x14ac:dyDescent="0.25">
      <c r="A515">
        <v>513</v>
      </c>
      <c r="B515" s="7" t="s">
        <v>476</v>
      </c>
      <c r="C515" s="13" t="s">
        <v>1416</v>
      </c>
      <c r="D515" s="14" t="s">
        <v>18</v>
      </c>
      <c r="E515" s="16">
        <v>1059</v>
      </c>
      <c r="F515" s="15">
        <v>1307</v>
      </c>
      <c r="G515" s="17" t="s">
        <v>6</v>
      </c>
      <c r="H515" s="18">
        <v>1</v>
      </c>
      <c r="I515" s="19"/>
      <c r="J515" s="19">
        <v>1254.72</v>
      </c>
      <c r="K515" s="19">
        <f t="shared" ref="K515:K578" si="8">J515-E515</f>
        <v>195.72000000000003</v>
      </c>
      <c r="L515" s="18"/>
      <c r="M515" s="18"/>
      <c r="N515" s="18"/>
      <c r="O515" s="26" t="s">
        <v>1036</v>
      </c>
    </row>
    <row r="516" spans="1:15" ht="15" x14ac:dyDescent="0.25">
      <c r="A516">
        <v>514</v>
      </c>
      <c r="B516" s="8" t="s">
        <v>477</v>
      </c>
      <c r="C516" s="21" t="s">
        <v>1417</v>
      </c>
      <c r="D516" s="22" t="s">
        <v>18</v>
      </c>
      <c r="E516" s="23">
        <v>2155</v>
      </c>
      <c r="F516" s="15">
        <v>2650</v>
      </c>
      <c r="G516" s="24" t="s">
        <v>6</v>
      </c>
      <c r="H516" s="18">
        <v>1</v>
      </c>
      <c r="I516" s="19">
        <f>VLOOKUP(B516,[1]Лист2!$A:$J,10,0)</f>
        <v>1113.05</v>
      </c>
      <c r="J516" s="19">
        <v>2544</v>
      </c>
      <c r="K516" s="19">
        <f t="shared" si="8"/>
        <v>389</v>
      </c>
      <c r="L516" s="18"/>
      <c r="M516" s="18"/>
      <c r="N516" s="18"/>
      <c r="O516" s="26" t="s">
        <v>1036</v>
      </c>
    </row>
    <row r="517" spans="1:15" ht="15" x14ac:dyDescent="0.25">
      <c r="A517">
        <v>515</v>
      </c>
      <c r="B517" s="7" t="s">
        <v>478</v>
      </c>
      <c r="C517" s="13" t="s">
        <v>1417</v>
      </c>
      <c r="D517" s="14" t="s">
        <v>18</v>
      </c>
      <c r="E517" s="16">
        <v>3790</v>
      </c>
      <c r="F517" s="15">
        <v>4655</v>
      </c>
      <c r="G517" s="17" t="s">
        <v>6</v>
      </c>
      <c r="H517" s="18">
        <v>1</v>
      </c>
      <c r="I517" s="19"/>
      <c r="J517" s="19">
        <v>4468.8</v>
      </c>
      <c r="K517" s="19">
        <f t="shared" si="8"/>
        <v>678.80000000000018</v>
      </c>
      <c r="L517" s="18"/>
      <c r="M517" s="18"/>
      <c r="N517" s="18"/>
      <c r="O517" s="26" t="s">
        <v>1036</v>
      </c>
    </row>
    <row r="518" spans="1:15" ht="15" x14ac:dyDescent="0.25">
      <c r="A518">
        <v>516</v>
      </c>
      <c r="B518" s="8" t="s">
        <v>479</v>
      </c>
      <c r="C518" s="21" t="s">
        <v>1418</v>
      </c>
      <c r="D518" s="22" t="s">
        <v>18</v>
      </c>
      <c r="E518" s="23">
        <v>5632</v>
      </c>
      <c r="F518" s="15">
        <v>6913</v>
      </c>
      <c r="G518" s="24" t="s">
        <v>6</v>
      </c>
      <c r="H518" s="18">
        <v>1</v>
      </c>
      <c r="I518" s="19"/>
      <c r="J518" s="19">
        <v>6636.48</v>
      </c>
      <c r="K518" s="19">
        <f t="shared" si="8"/>
        <v>1004.4799999999996</v>
      </c>
      <c r="L518" s="18"/>
      <c r="M518" s="18"/>
      <c r="N518" s="18"/>
      <c r="O518" s="26" t="s">
        <v>1036</v>
      </c>
    </row>
    <row r="519" spans="1:15" ht="15" x14ac:dyDescent="0.25">
      <c r="A519">
        <v>517</v>
      </c>
      <c r="B519" s="7" t="s">
        <v>480</v>
      </c>
      <c r="C519" s="13" t="s">
        <v>1419</v>
      </c>
      <c r="D519" s="14" t="s">
        <v>18</v>
      </c>
      <c r="E519" s="16">
        <v>4565</v>
      </c>
      <c r="F519" s="15">
        <v>5605</v>
      </c>
      <c r="G519" s="17" t="s">
        <v>6</v>
      </c>
      <c r="H519" s="18">
        <v>1</v>
      </c>
      <c r="I519" s="19"/>
      <c r="J519" s="19">
        <v>5380.8</v>
      </c>
      <c r="K519" s="19">
        <f t="shared" si="8"/>
        <v>815.80000000000018</v>
      </c>
      <c r="L519" s="18"/>
      <c r="M519" s="18"/>
      <c r="N519" s="18"/>
      <c r="O519" s="26" t="s">
        <v>1036</v>
      </c>
    </row>
    <row r="520" spans="1:15" ht="15" x14ac:dyDescent="0.25">
      <c r="A520">
        <v>518</v>
      </c>
      <c r="B520" s="8" t="s">
        <v>481</v>
      </c>
      <c r="C520" s="21" t="s">
        <v>1420</v>
      </c>
      <c r="D520" s="22" t="s">
        <v>18</v>
      </c>
      <c r="E520" s="23">
        <v>1762</v>
      </c>
      <c r="F520" s="15">
        <v>2169</v>
      </c>
      <c r="G520" s="24" t="s">
        <v>6</v>
      </c>
      <c r="H520" s="18">
        <v>1</v>
      </c>
      <c r="I520" s="19"/>
      <c r="J520" s="19">
        <v>2082.2399999999998</v>
      </c>
      <c r="K520" s="19">
        <f t="shared" si="8"/>
        <v>320.23999999999978</v>
      </c>
      <c r="L520" s="18"/>
      <c r="M520" s="18"/>
      <c r="N520" s="18"/>
      <c r="O520" s="26" t="s">
        <v>1036</v>
      </c>
    </row>
    <row r="521" spans="1:15" ht="15" x14ac:dyDescent="0.25">
      <c r="A521">
        <v>519</v>
      </c>
      <c r="B521" s="7" t="s">
        <v>482</v>
      </c>
      <c r="C521" s="13" t="s">
        <v>1421</v>
      </c>
      <c r="D521" s="14" t="s">
        <v>18</v>
      </c>
      <c r="E521" s="16">
        <v>1762</v>
      </c>
      <c r="F521" s="15">
        <v>2169</v>
      </c>
      <c r="G521" s="17" t="s">
        <v>6</v>
      </c>
      <c r="H521" s="18">
        <v>1</v>
      </c>
      <c r="I521" s="19"/>
      <c r="J521" s="19">
        <v>2082.2399999999998</v>
      </c>
      <c r="K521" s="19">
        <f t="shared" si="8"/>
        <v>320.23999999999978</v>
      </c>
      <c r="L521" s="18"/>
      <c r="M521" s="18"/>
      <c r="N521" s="18"/>
      <c r="O521" s="26" t="s">
        <v>1036</v>
      </c>
    </row>
    <row r="522" spans="1:15" ht="15" x14ac:dyDescent="0.25">
      <c r="A522">
        <v>520</v>
      </c>
      <c r="B522" s="8" t="s">
        <v>483</v>
      </c>
      <c r="C522" s="21" t="s">
        <v>1422</v>
      </c>
      <c r="D522" s="22" t="s">
        <v>18</v>
      </c>
      <c r="E522" s="23">
        <v>4080</v>
      </c>
      <c r="F522" s="15">
        <v>4106</v>
      </c>
      <c r="G522" s="24" t="s">
        <v>6</v>
      </c>
      <c r="H522" s="18">
        <v>1</v>
      </c>
      <c r="I522" s="19"/>
      <c r="J522" s="19">
        <v>4120.8</v>
      </c>
      <c r="K522" s="19">
        <f t="shared" si="8"/>
        <v>40.800000000000182</v>
      </c>
      <c r="L522" s="18"/>
      <c r="M522" s="18"/>
      <c r="N522" s="18"/>
      <c r="O522" s="26" t="s">
        <v>1036</v>
      </c>
    </row>
    <row r="523" spans="1:15" ht="15" x14ac:dyDescent="0.25">
      <c r="A523">
        <v>521</v>
      </c>
      <c r="B523" s="7" t="s">
        <v>484</v>
      </c>
      <c r="C523" s="13" t="s">
        <v>1423</v>
      </c>
      <c r="D523" s="14" t="s">
        <v>18</v>
      </c>
      <c r="E523" s="15">
        <v>7915</v>
      </c>
      <c r="F523" s="16">
        <v>7387.36</v>
      </c>
      <c r="G523" s="17" t="s">
        <v>9</v>
      </c>
      <c r="H523" s="18">
        <v>10</v>
      </c>
      <c r="I523" s="19">
        <f>VLOOKUP(B523,[1]Лист2!$A:$J,10,0)</f>
        <v>6156.25</v>
      </c>
      <c r="J523" s="19">
        <v>7091.8655999999992</v>
      </c>
      <c r="K523" s="19">
        <f t="shared" si="8"/>
        <v>-823.13440000000082</v>
      </c>
      <c r="L523" s="18"/>
      <c r="M523" s="18"/>
      <c r="N523" s="18"/>
      <c r="O523" s="26" t="s">
        <v>1036</v>
      </c>
    </row>
    <row r="524" spans="1:15" ht="15" x14ac:dyDescent="0.25">
      <c r="A524">
        <v>522</v>
      </c>
      <c r="B524" s="8" t="s">
        <v>485</v>
      </c>
      <c r="C524" s="21" t="s">
        <v>1424</v>
      </c>
      <c r="D524" s="22" t="s">
        <v>18</v>
      </c>
      <c r="E524" s="23">
        <v>11102</v>
      </c>
      <c r="F524" s="15">
        <v>11827</v>
      </c>
      <c r="G524" s="24" t="s">
        <v>6</v>
      </c>
      <c r="H524" s="18">
        <v>1</v>
      </c>
      <c r="I524" s="19"/>
      <c r="J524" s="19">
        <v>11353.92</v>
      </c>
      <c r="K524" s="19">
        <f t="shared" si="8"/>
        <v>251.92000000000007</v>
      </c>
      <c r="L524" s="18"/>
      <c r="M524" s="18"/>
      <c r="N524" s="18"/>
      <c r="O524" s="26" t="s">
        <v>1036</v>
      </c>
    </row>
    <row r="525" spans="1:15" ht="15" x14ac:dyDescent="0.25">
      <c r="A525">
        <v>523</v>
      </c>
      <c r="B525" s="7" t="s">
        <v>486</v>
      </c>
      <c r="C525" s="13" t="s">
        <v>1425</v>
      </c>
      <c r="D525" s="14" t="s">
        <v>18</v>
      </c>
      <c r="E525" s="16">
        <v>11102</v>
      </c>
      <c r="F525" s="15">
        <v>13619</v>
      </c>
      <c r="G525" s="17" t="s">
        <v>6</v>
      </c>
      <c r="H525" s="18">
        <v>1</v>
      </c>
      <c r="I525" s="19"/>
      <c r="J525" s="19">
        <v>13074.24</v>
      </c>
      <c r="K525" s="19">
        <f t="shared" si="8"/>
        <v>1972.2399999999998</v>
      </c>
      <c r="L525" s="18"/>
      <c r="M525" s="18"/>
      <c r="N525" s="18"/>
      <c r="O525" s="26" t="s">
        <v>1036</v>
      </c>
    </row>
    <row r="526" spans="1:15" ht="15" x14ac:dyDescent="0.25">
      <c r="A526">
        <v>524</v>
      </c>
      <c r="B526" s="8" t="s">
        <v>487</v>
      </c>
      <c r="C526" s="21" t="s">
        <v>1426</v>
      </c>
      <c r="D526" s="22" t="s">
        <v>267</v>
      </c>
      <c r="E526" s="23">
        <v>109418</v>
      </c>
      <c r="F526" s="15">
        <v>134144</v>
      </c>
      <c r="G526" s="24" t="s">
        <v>6</v>
      </c>
      <c r="H526" s="18">
        <v>2</v>
      </c>
      <c r="I526" s="19"/>
      <c r="J526" s="19">
        <v>115350</v>
      </c>
      <c r="K526" s="19">
        <f t="shared" si="8"/>
        <v>5932</v>
      </c>
      <c r="L526" s="18"/>
      <c r="M526" s="18"/>
      <c r="N526" s="18"/>
      <c r="O526" s="26" t="s">
        <v>1036</v>
      </c>
    </row>
    <row r="527" spans="1:15" ht="15" x14ac:dyDescent="0.25">
      <c r="A527">
        <v>525</v>
      </c>
      <c r="B527" s="7" t="s">
        <v>488</v>
      </c>
      <c r="C527" s="13" t="s">
        <v>1427</v>
      </c>
      <c r="D527" s="14" t="s">
        <v>5</v>
      </c>
      <c r="E527" s="15">
        <v>2799</v>
      </c>
      <c r="F527" s="16">
        <v>966</v>
      </c>
      <c r="G527" s="17" t="s">
        <v>6</v>
      </c>
      <c r="H527" s="18">
        <v>1</v>
      </c>
      <c r="I527" s="19">
        <f>VLOOKUP(B527,[1]Лист2!$A:$J,10,0)</f>
        <v>1085.47</v>
      </c>
      <c r="J527" s="29">
        <v>1096.3247000000001</v>
      </c>
      <c r="K527" s="19">
        <f t="shared" si="8"/>
        <v>-1702.6752999999999</v>
      </c>
      <c r="L527" s="18"/>
      <c r="M527" s="18"/>
      <c r="N527" s="18"/>
      <c r="O527" s="26" t="s">
        <v>1036</v>
      </c>
    </row>
    <row r="528" spans="1:15" ht="15" x14ac:dyDescent="0.25">
      <c r="A528">
        <v>526</v>
      </c>
      <c r="B528" s="8" t="s">
        <v>488</v>
      </c>
      <c r="C528" s="21" t="s">
        <v>1427</v>
      </c>
      <c r="D528" s="22" t="s">
        <v>5</v>
      </c>
      <c r="E528" s="15">
        <v>2319</v>
      </c>
      <c r="F528" s="23">
        <v>966</v>
      </c>
      <c r="G528" s="24" t="s">
        <v>6</v>
      </c>
      <c r="H528" s="18">
        <v>2</v>
      </c>
      <c r="I528" s="19">
        <f>VLOOKUP(B528,[1]Лист2!$A:$J,10,0)</f>
        <v>1085.47</v>
      </c>
      <c r="J528" s="29">
        <v>1096.3247000000001</v>
      </c>
      <c r="K528" s="19">
        <f t="shared" si="8"/>
        <v>-1222.6752999999999</v>
      </c>
      <c r="L528" s="18"/>
      <c r="M528" s="18"/>
      <c r="N528" s="18"/>
      <c r="O528" s="26" t="s">
        <v>1036</v>
      </c>
    </row>
    <row r="529" spans="1:15" ht="15" x14ac:dyDescent="0.25">
      <c r="A529">
        <v>527</v>
      </c>
      <c r="B529" s="7" t="s">
        <v>489</v>
      </c>
      <c r="C529" s="13" t="s">
        <v>1428</v>
      </c>
      <c r="D529" s="14" t="s">
        <v>5</v>
      </c>
      <c r="E529" s="15">
        <v>4015</v>
      </c>
      <c r="F529" s="16">
        <v>2615</v>
      </c>
      <c r="G529" s="17" t="s">
        <v>6</v>
      </c>
      <c r="H529" s="18">
        <v>1</v>
      </c>
      <c r="I529" s="19">
        <f>VLOOKUP(B529,[1]Лист2!$A:$J,10,0)</f>
        <v>2515.69</v>
      </c>
      <c r="J529" s="29">
        <v>2540.8469</v>
      </c>
      <c r="K529" s="19">
        <f t="shared" si="8"/>
        <v>-1474.1531</v>
      </c>
      <c r="L529" s="18"/>
      <c r="M529" s="18"/>
      <c r="N529" s="18"/>
      <c r="O529" s="26" t="s">
        <v>1036</v>
      </c>
    </row>
    <row r="530" spans="1:15" ht="15" x14ac:dyDescent="0.25">
      <c r="A530">
        <v>528</v>
      </c>
      <c r="B530" s="8" t="s">
        <v>490</v>
      </c>
      <c r="C530" s="21" t="s">
        <v>1429</v>
      </c>
      <c r="D530" s="22" t="s">
        <v>5</v>
      </c>
      <c r="E530" s="15">
        <v>1711</v>
      </c>
      <c r="F530" s="23">
        <v>991</v>
      </c>
      <c r="G530" s="24" t="s">
        <v>6</v>
      </c>
      <c r="H530" s="18">
        <v>1</v>
      </c>
      <c r="I530" s="19">
        <f>VLOOKUP(B530,[1]Лист2!$A:$J,10,0)</f>
        <v>871.72500000000002</v>
      </c>
      <c r="J530" s="19">
        <v>951.36</v>
      </c>
      <c r="K530" s="19">
        <f t="shared" si="8"/>
        <v>-759.64</v>
      </c>
      <c r="L530" s="18"/>
      <c r="M530" s="18"/>
      <c r="N530" s="18"/>
      <c r="O530" s="26" t="s">
        <v>1036</v>
      </c>
    </row>
    <row r="531" spans="1:15" ht="15" x14ac:dyDescent="0.25">
      <c r="A531">
        <v>529</v>
      </c>
      <c r="B531" s="7" t="s">
        <v>490</v>
      </c>
      <c r="C531" s="13" t="s">
        <v>1429</v>
      </c>
      <c r="D531" s="14" t="s">
        <v>5</v>
      </c>
      <c r="E531" s="15">
        <v>1711</v>
      </c>
      <c r="F531" s="16">
        <v>991</v>
      </c>
      <c r="G531" s="17" t="s">
        <v>6</v>
      </c>
      <c r="H531" s="18">
        <v>1</v>
      </c>
      <c r="I531" s="19">
        <f>VLOOKUP(B531,[1]Лист2!$A:$J,10,0)</f>
        <v>871.72500000000002</v>
      </c>
      <c r="J531" s="19">
        <v>951.36</v>
      </c>
      <c r="K531" s="19">
        <f t="shared" si="8"/>
        <v>-759.64</v>
      </c>
      <c r="L531" s="18"/>
      <c r="M531" s="18"/>
      <c r="N531" s="18"/>
      <c r="O531" s="26" t="s">
        <v>1036</v>
      </c>
    </row>
    <row r="532" spans="1:15" ht="15" x14ac:dyDescent="0.25">
      <c r="A532">
        <v>530</v>
      </c>
      <c r="B532" s="8" t="s">
        <v>491</v>
      </c>
      <c r="C532" s="21" t="s">
        <v>1430</v>
      </c>
      <c r="D532" s="22" t="s">
        <v>5</v>
      </c>
      <c r="E532" s="15">
        <v>8687</v>
      </c>
      <c r="F532" s="23">
        <v>4542</v>
      </c>
      <c r="G532" s="24" t="s">
        <v>6</v>
      </c>
      <c r="H532" s="18">
        <v>1</v>
      </c>
      <c r="I532" s="19">
        <f>VLOOKUP(B532,[1]Лист2!$A:$J,10,0)</f>
        <v>5711.03</v>
      </c>
      <c r="J532" s="29">
        <v>5768.1403</v>
      </c>
      <c r="K532" s="19">
        <f t="shared" si="8"/>
        <v>-2918.8597</v>
      </c>
      <c r="L532" s="18"/>
      <c r="M532" s="18"/>
      <c r="N532" s="18"/>
      <c r="O532" s="26" t="s">
        <v>1036</v>
      </c>
    </row>
    <row r="533" spans="1:15" ht="15" x14ac:dyDescent="0.25">
      <c r="A533">
        <v>531</v>
      </c>
      <c r="B533" s="7" t="s">
        <v>492</v>
      </c>
      <c r="C533" s="13" t="s">
        <v>1431</v>
      </c>
      <c r="D533" s="14" t="s">
        <v>64</v>
      </c>
      <c r="E533" s="15">
        <v>16951</v>
      </c>
      <c r="F533" s="16">
        <v>1251</v>
      </c>
      <c r="G533" s="17" t="s">
        <v>6</v>
      </c>
      <c r="H533" s="18">
        <v>1</v>
      </c>
      <c r="I533" s="19"/>
      <c r="J533" s="19">
        <v>17120.509999999998</v>
      </c>
      <c r="K533" s="19">
        <f t="shared" si="8"/>
        <v>169.5099999999984</v>
      </c>
      <c r="L533" s="18"/>
      <c r="M533" s="18"/>
      <c r="N533" s="18"/>
      <c r="O533" s="26" t="s">
        <v>1036</v>
      </c>
    </row>
    <row r="534" spans="1:15" ht="15" x14ac:dyDescent="0.25">
      <c r="A534">
        <v>532</v>
      </c>
      <c r="B534" s="8" t="s">
        <v>493</v>
      </c>
      <c r="C534" s="21" t="s">
        <v>1432</v>
      </c>
      <c r="D534" s="22" t="s">
        <v>5</v>
      </c>
      <c r="E534" s="15">
        <v>6313</v>
      </c>
      <c r="F534" s="23">
        <v>4037</v>
      </c>
      <c r="G534" s="24" t="s">
        <v>6</v>
      </c>
      <c r="H534" s="18">
        <v>1</v>
      </c>
      <c r="I534" s="19">
        <f>VLOOKUP(B534,[1]Лист2!$A:$J,10,0)</f>
        <v>3444.5450000000001</v>
      </c>
      <c r="J534" s="19">
        <v>3875.52</v>
      </c>
      <c r="K534" s="19">
        <f t="shared" si="8"/>
        <v>-2437.48</v>
      </c>
      <c r="L534" s="18"/>
      <c r="M534" s="18"/>
      <c r="N534" s="18"/>
      <c r="O534" s="26" t="s">
        <v>1036</v>
      </c>
    </row>
    <row r="535" spans="1:15" ht="15" x14ac:dyDescent="0.25">
      <c r="A535">
        <v>533</v>
      </c>
      <c r="B535" s="7" t="s">
        <v>494</v>
      </c>
      <c r="C535" s="13" t="s">
        <v>1433</v>
      </c>
      <c r="D535" s="14" t="s">
        <v>5</v>
      </c>
      <c r="E535" s="15">
        <v>8486</v>
      </c>
      <c r="F535" s="16">
        <v>4630</v>
      </c>
      <c r="G535" s="17" t="s">
        <v>6</v>
      </c>
      <c r="H535" s="18">
        <v>1</v>
      </c>
      <c r="I535" s="19">
        <f>VLOOKUP(B535,[1]Лист2!$A:$J,10,0)</f>
        <v>6464.5550000000003</v>
      </c>
      <c r="J535" s="29">
        <v>6529.2005500000005</v>
      </c>
      <c r="K535" s="19">
        <f t="shared" si="8"/>
        <v>-1956.7994499999995</v>
      </c>
      <c r="L535" s="18"/>
      <c r="M535" s="18"/>
      <c r="N535" s="18"/>
      <c r="O535" s="26" t="s">
        <v>1036</v>
      </c>
    </row>
    <row r="536" spans="1:15" ht="15" x14ac:dyDescent="0.25">
      <c r="A536">
        <v>534</v>
      </c>
      <c r="B536" s="8" t="s">
        <v>495</v>
      </c>
      <c r="C536" s="21" t="s">
        <v>1434</v>
      </c>
      <c r="D536" s="22" t="s">
        <v>5</v>
      </c>
      <c r="E536" s="15">
        <v>1704</v>
      </c>
      <c r="F536" s="23">
        <v>1090</v>
      </c>
      <c r="G536" s="24" t="s">
        <v>6</v>
      </c>
      <c r="H536" s="18">
        <v>1</v>
      </c>
      <c r="I536" s="19">
        <f>VLOOKUP(B536,[1]Лист2!$A:$J,10,0)</f>
        <v>1096.3050000000001</v>
      </c>
      <c r="J536" s="29">
        <v>1107.2680500000001</v>
      </c>
      <c r="K536" s="19">
        <f t="shared" si="8"/>
        <v>-596.73194999999987</v>
      </c>
      <c r="L536" s="18"/>
      <c r="M536" s="18"/>
      <c r="N536" s="18"/>
      <c r="O536" s="26" t="s">
        <v>1036</v>
      </c>
    </row>
    <row r="537" spans="1:15" ht="15" x14ac:dyDescent="0.25">
      <c r="A537">
        <v>535</v>
      </c>
      <c r="B537" s="7" t="s">
        <v>495</v>
      </c>
      <c r="C537" s="13" t="s">
        <v>1434</v>
      </c>
      <c r="D537" s="14" t="s">
        <v>5</v>
      </c>
      <c r="E537" s="15">
        <v>3391</v>
      </c>
      <c r="F537" s="16">
        <v>1090</v>
      </c>
      <c r="G537" s="17" t="s">
        <v>6</v>
      </c>
      <c r="H537" s="18">
        <v>1</v>
      </c>
      <c r="I537" s="19">
        <f>VLOOKUP(B537,[1]Лист2!$A:$J,10,0)</f>
        <v>1096.3050000000001</v>
      </c>
      <c r="J537" s="29">
        <v>1107.2680500000001</v>
      </c>
      <c r="K537" s="19">
        <f t="shared" si="8"/>
        <v>-2283.7319499999999</v>
      </c>
      <c r="L537" s="18"/>
      <c r="M537" s="18"/>
      <c r="N537" s="18"/>
      <c r="O537" s="26" t="s">
        <v>1036</v>
      </c>
    </row>
    <row r="538" spans="1:15" ht="15" x14ac:dyDescent="0.25">
      <c r="A538">
        <v>536</v>
      </c>
      <c r="B538" s="8" t="s">
        <v>495</v>
      </c>
      <c r="C538" s="21" t="s">
        <v>1434</v>
      </c>
      <c r="D538" s="22" t="s">
        <v>5</v>
      </c>
      <c r="E538" s="15">
        <v>3391</v>
      </c>
      <c r="F538" s="23">
        <v>1090</v>
      </c>
      <c r="G538" s="24" t="s">
        <v>6</v>
      </c>
      <c r="H538" s="18">
        <v>1</v>
      </c>
      <c r="I538" s="19">
        <f>VLOOKUP(B538,[1]Лист2!$A:$J,10,0)</f>
        <v>1096.3050000000001</v>
      </c>
      <c r="J538" s="29">
        <v>1107.2680500000001</v>
      </c>
      <c r="K538" s="19">
        <f t="shared" si="8"/>
        <v>-2283.7319499999999</v>
      </c>
      <c r="L538" s="18"/>
      <c r="M538" s="18"/>
      <c r="N538" s="18"/>
      <c r="O538" s="26" t="s">
        <v>1036</v>
      </c>
    </row>
    <row r="539" spans="1:15" ht="15" x14ac:dyDescent="0.25">
      <c r="A539">
        <v>537</v>
      </c>
      <c r="B539" s="7" t="s">
        <v>496</v>
      </c>
      <c r="C539" s="13" t="s">
        <v>1435</v>
      </c>
      <c r="D539" s="14" t="s">
        <v>5</v>
      </c>
      <c r="E539" s="15">
        <v>4264</v>
      </c>
      <c r="F539" s="16">
        <v>2110</v>
      </c>
      <c r="G539" s="17" t="s">
        <v>6</v>
      </c>
      <c r="H539" s="18">
        <v>1</v>
      </c>
      <c r="I539" s="19">
        <f>VLOOKUP(B539,[1]Лист2!$A:$J,10,0)</f>
        <v>2036.98</v>
      </c>
      <c r="J539" s="29">
        <v>2057.3498</v>
      </c>
      <c r="K539" s="19">
        <f t="shared" si="8"/>
        <v>-2206.6502</v>
      </c>
      <c r="L539" s="18"/>
      <c r="M539" s="18"/>
      <c r="N539" s="18"/>
      <c r="O539" s="26" t="s">
        <v>1036</v>
      </c>
    </row>
    <row r="540" spans="1:15" ht="15" x14ac:dyDescent="0.25">
      <c r="A540">
        <v>538</v>
      </c>
      <c r="B540" s="8" t="s">
        <v>496</v>
      </c>
      <c r="C540" s="21" t="s">
        <v>1435</v>
      </c>
      <c r="D540" s="22" t="s">
        <v>5</v>
      </c>
      <c r="E540" s="15">
        <v>4264</v>
      </c>
      <c r="F540" s="23">
        <v>2110</v>
      </c>
      <c r="G540" s="24" t="s">
        <v>6</v>
      </c>
      <c r="H540" s="18">
        <v>1</v>
      </c>
      <c r="I540" s="19">
        <f>VLOOKUP(B540,[1]Лист2!$A:$J,10,0)</f>
        <v>2036.98</v>
      </c>
      <c r="J540" s="29">
        <v>2057.3498</v>
      </c>
      <c r="K540" s="19">
        <f t="shared" si="8"/>
        <v>-2206.6502</v>
      </c>
      <c r="L540" s="18"/>
      <c r="M540" s="18"/>
      <c r="N540" s="18"/>
      <c r="O540" s="26" t="s">
        <v>1036</v>
      </c>
    </row>
    <row r="541" spans="1:15" ht="15" x14ac:dyDescent="0.25">
      <c r="A541">
        <v>539</v>
      </c>
      <c r="B541" s="7" t="s">
        <v>497</v>
      </c>
      <c r="C541" s="13" t="s">
        <v>1436</v>
      </c>
      <c r="D541" s="14" t="s">
        <v>5</v>
      </c>
      <c r="E541" s="15">
        <v>2639</v>
      </c>
      <c r="F541" s="16">
        <v>2573</v>
      </c>
      <c r="G541" s="17" t="s">
        <v>6</v>
      </c>
      <c r="H541" s="18">
        <v>1</v>
      </c>
      <c r="I541" s="19"/>
      <c r="J541" s="19">
        <v>2665.39</v>
      </c>
      <c r="K541" s="19">
        <f t="shared" si="8"/>
        <v>26.389999999999873</v>
      </c>
      <c r="L541" s="18"/>
      <c r="M541" s="18"/>
      <c r="N541" s="18"/>
      <c r="O541" s="26" t="s">
        <v>1036</v>
      </c>
    </row>
    <row r="542" spans="1:15" ht="15" x14ac:dyDescent="0.25">
      <c r="A542">
        <v>540</v>
      </c>
      <c r="B542" s="8" t="s">
        <v>498</v>
      </c>
      <c r="C542" s="21" t="s">
        <v>1436</v>
      </c>
      <c r="D542" s="22" t="s">
        <v>5</v>
      </c>
      <c r="E542" s="15">
        <v>4560</v>
      </c>
      <c r="F542" s="23">
        <v>3203</v>
      </c>
      <c r="G542" s="24" t="s">
        <v>6</v>
      </c>
      <c r="H542" s="18">
        <v>1</v>
      </c>
      <c r="I542" s="19">
        <f>VLOOKUP(B542,[1]Лист2!$A:$J,10,0)</f>
        <v>788.98500000000001</v>
      </c>
      <c r="J542" s="19">
        <v>3074.88</v>
      </c>
      <c r="K542" s="19">
        <f t="shared" si="8"/>
        <v>-1485.12</v>
      </c>
      <c r="L542" s="18"/>
      <c r="M542" s="18"/>
      <c r="N542" s="18"/>
      <c r="O542" s="26" t="s">
        <v>1036</v>
      </c>
    </row>
    <row r="543" spans="1:15" ht="15" x14ac:dyDescent="0.25">
      <c r="A543">
        <v>541</v>
      </c>
      <c r="B543" s="7" t="s">
        <v>499</v>
      </c>
      <c r="C543" s="13" t="s">
        <v>1437</v>
      </c>
      <c r="D543" s="14" t="s">
        <v>5</v>
      </c>
      <c r="E543" s="15">
        <v>2134</v>
      </c>
      <c r="F543" s="16">
        <v>2109</v>
      </c>
      <c r="G543" s="17" t="s">
        <v>6</v>
      </c>
      <c r="H543" s="18">
        <v>1</v>
      </c>
      <c r="I543" s="19">
        <f>VLOOKUP(B543,[1]Лист2!$A:$J,10,0)</f>
        <v>1892.1849999999999</v>
      </c>
      <c r="J543" s="19">
        <v>2024.6399999999999</v>
      </c>
      <c r="K543" s="19">
        <f t="shared" si="8"/>
        <v>-109.36000000000013</v>
      </c>
      <c r="L543" s="18"/>
      <c r="M543" s="18"/>
      <c r="N543" s="18"/>
      <c r="O543" s="26" t="s">
        <v>1036</v>
      </c>
    </row>
    <row r="544" spans="1:15" ht="15" x14ac:dyDescent="0.25">
      <c r="A544">
        <v>542</v>
      </c>
      <c r="B544" s="8" t="s">
        <v>500</v>
      </c>
      <c r="C544" s="21" t="s">
        <v>1438</v>
      </c>
      <c r="D544" s="22" t="s">
        <v>397</v>
      </c>
      <c r="E544" s="15">
        <v>4079</v>
      </c>
      <c r="F544" s="23">
        <v>2798.4</v>
      </c>
      <c r="G544" s="24" t="s">
        <v>71</v>
      </c>
      <c r="H544" s="18">
        <v>1</v>
      </c>
      <c r="I544" s="19">
        <f>VLOOKUP(B544,[1]Лист2!$A:$J,10,0)</f>
        <v>3517.4349999999999</v>
      </c>
      <c r="J544" s="29">
        <v>3552.6093500000002</v>
      </c>
      <c r="K544" s="19">
        <f t="shared" si="8"/>
        <v>-526.39064999999982</v>
      </c>
      <c r="L544" s="18"/>
      <c r="M544" s="18"/>
      <c r="N544" s="18"/>
      <c r="O544" s="26" t="s">
        <v>1036</v>
      </c>
    </row>
    <row r="545" spans="1:15" ht="15" x14ac:dyDescent="0.25">
      <c r="A545">
        <v>543</v>
      </c>
      <c r="B545" s="7" t="s">
        <v>501</v>
      </c>
      <c r="C545" s="13" t="s">
        <v>1439</v>
      </c>
      <c r="D545" s="14" t="s">
        <v>5</v>
      </c>
      <c r="E545" s="15">
        <v>7031</v>
      </c>
      <c r="F545" s="16">
        <v>3597</v>
      </c>
      <c r="G545" s="17" t="s">
        <v>6</v>
      </c>
      <c r="H545" s="18">
        <v>1</v>
      </c>
      <c r="I545" s="19">
        <f>VLOOKUP(B545,[1]Лист2!$A:$J,10,0)</f>
        <v>4122.2250000000004</v>
      </c>
      <c r="J545" s="29">
        <v>4163.4472500000002</v>
      </c>
      <c r="K545" s="19">
        <f t="shared" si="8"/>
        <v>-2867.5527499999998</v>
      </c>
      <c r="L545" s="18"/>
      <c r="M545" s="18"/>
      <c r="N545" s="18"/>
      <c r="O545" s="26" t="s">
        <v>1036</v>
      </c>
    </row>
    <row r="546" spans="1:15" ht="15" x14ac:dyDescent="0.25">
      <c r="A546">
        <v>544</v>
      </c>
      <c r="B546" s="8" t="s">
        <v>502</v>
      </c>
      <c r="C546" s="21" t="s">
        <v>1440</v>
      </c>
      <c r="D546" s="22" t="s">
        <v>5</v>
      </c>
      <c r="E546" s="15">
        <v>4247</v>
      </c>
      <c r="F546" s="23">
        <v>2547</v>
      </c>
      <c r="G546" s="24" t="s">
        <v>6</v>
      </c>
      <c r="H546" s="18">
        <v>1</v>
      </c>
      <c r="I546" s="19">
        <f>VLOOKUP(B546,[1]Лист2!$A:$J,10,0)</f>
        <v>4254.2150000000001</v>
      </c>
      <c r="J546" s="29">
        <v>4296.7571500000004</v>
      </c>
      <c r="K546" s="19">
        <f t="shared" si="8"/>
        <v>49.757150000000365</v>
      </c>
      <c r="L546" s="18"/>
      <c r="M546" s="18"/>
      <c r="N546" s="18"/>
      <c r="O546" s="26" t="s">
        <v>1036</v>
      </c>
    </row>
    <row r="547" spans="1:15" ht="15" x14ac:dyDescent="0.25">
      <c r="A547">
        <v>545</v>
      </c>
      <c r="B547" s="7" t="s">
        <v>502</v>
      </c>
      <c r="C547" s="13" t="s">
        <v>1440</v>
      </c>
      <c r="D547" s="14" t="s">
        <v>5</v>
      </c>
      <c r="E547" s="15">
        <v>4247</v>
      </c>
      <c r="F547" s="16">
        <v>2547</v>
      </c>
      <c r="G547" s="17" t="s">
        <v>6</v>
      </c>
      <c r="H547" s="18">
        <v>2</v>
      </c>
      <c r="I547" s="19">
        <f>VLOOKUP(B547,[1]Лист2!$A:$J,10,0)</f>
        <v>4254.2150000000001</v>
      </c>
      <c r="J547" s="29">
        <v>4296.7571500000004</v>
      </c>
      <c r="K547" s="19">
        <f t="shared" si="8"/>
        <v>49.757150000000365</v>
      </c>
      <c r="L547" s="18"/>
      <c r="M547" s="18"/>
      <c r="N547" s="18"/>
      <c r="O547" s="26" t="s">
        <v>1036</v>
      </c>
    </row>
    <row r="548" spans="1:15" ht="15" x14ac:dyDescent="0.25">
      <c r="A548">
        <v>546</v>
      </c>
      <c r="B548" s="8" t="s">
        <v>502</v>
      </c>
      <c r="C548" s="21" t="s">
        <v>1440</v>
      </c>
      <c r="D548" s="22" t="s">
        <v>5</v>
      </c>
      <c r="E548" s="15">
        <v>7711</v>
      </c>
      <c r="F548" s="23">
        <v>2547</v>
      </c>
      <c r="G548" s="24" t="s">
        <v>6</v>
      </c>
      <c r="H548" s="18">
        <v>1</v>
      </c>
      <c r="I548" s="19">
        <f>VLOOKUP(B548,[1]Лист2!$A:$J,10,0)</f>
        <v>4254.2150000000001</v>
      </c>
      <c r="J548" s="29">
        <v>4296.7571500000004</v>
      </c>
      <c r="K548" s="19">
        <f t="shared" si="8"/>
        <v>-3414.2428499999996</v>
      </c>
      <c r="L548" s="18"/>
      <c r="M548" s="18"/>
      <c r="N548" s="18"/>
      <c r="O548" s="26" t="s">
        <v>1036</v>
      </c>
    </row>
    <row r="549" spans="1:15" ht="15" x14ac:dyDescent="0.25">
      <c r="A549">
        <v>547</v>
      </c>
      <c r="B549" s="7" t="s">
        <v>502</v>
      </c>
      <c r="C549" s="13" t="s">
        <v>1440</v>
      </c>
      <c r="D549" s="14" t="s">
        <v>5</v>
      </c>
      <c r="E549" s="15">
        <v>7711</v>
      </c>
      <c r="F549" s="16">
        <v>2547</v>
      </c>
      <c r="G549" s="17" t="s">
        <v>6</v>
      </c>
      <c r="H549" s="18">
        <v>2</v>
      </c>
      <c r="I549" s="19">
        <f>VLOOKUP(B549,[1]Лист2!$A:$J,10,0)</f>
        <v>4254.2150000000001</v>
      </c>
      <c r="J549" s="29">
        <v>4296.7571500000004</v>
      </c>
      <c r="K549" s="19">
        <f t="shared" si="8"/>
        <v>-3414.2428499999996</v>
      </c>
      <c r="L549" s="18"/>
      <c r="M549" s="18"/>
      <c r="N549" s="18"/>
      <c r="O549" s="26" t="s">
        <v>1036</v>
      </c>
    </row>
    <row r="550" spans="1:15" ht="15" x14ac:dyDescent="0.25">
      <c r="A550">
        <v>548</v>
      </c>
      <c r="B550" s="8" t="s">
        <v>503</v>
      </c>
      <c r="C550" s="21" t="s">
        <v>1441</v>
      </c>
      <c r="D550" s="22" t="s">
        <v>119</v>
      </c>
      <c r="E550" s="15">
        <v>4558</v>
      </c>
      <c r="F550" s="23">
        <v>2418</v>
      </c>
      <c r="G550" s="24" t="s">
        <v>136</v>
      </c>
      <c r="H550" s="18">
        <v>1</v>
      </c>
      <c r="I550" s="19">
        <f>VLOOKUP(B550,[1]Лист2!$A:$J,10,0)</f>
        <v>1240.115</v>
      </c>
      <c r="J550" s="19">
        <v>2321.2799999999997</v>
      </c>
      <c r="K550" s="19">
        <f t="shared" si="8"/>
        <v>-2236.7200000000003</v>
      </c>
      <c r="L550" s="18"/>
      <c r="M550" s="18"/>
      <c r="N550" s="18"/>
      <c r="O550" s="26" t="s">
        <v>1036</v>
      </c>
    </row>
    <row r="551" spans="1:15" ht="15" x14ac:dyDescent="0.25">
      <c r="A551">
        <v>549</v>
      </c>
      <c r="B551" s="7" t="s">
        <v>504</v>
      </c>
      <c r="C551" s="13" t="s">
        <v>1442</v>
      </c>
      <c r="D551" s="14" t="s">
        <v>119</v>
      </c>
      <c r="E551" s="15">
        <v>4558</v>
      </c>
      <c r="F551" s="16">
        <v>62</v>
      </c>
      <c r="G551" s="17" t="s">
        <v>6</v>
      </c>
      <c r="H551" s="18">
        <v>2</v>
      </c>
      <c r="I551" s="19">
        <f>VLOOKUP(B551,[1]Лист2!$A:$J,10,0)</f>
        <v>1684.35</v>
      </c>
      <c r="J551" s="29">
        <v>1701.1934999999999</v>
      </c>
      <c r="K551" s="19">
        <f t="shared" si="8"/>
        <v>-2856.8065000000001</v>
      </c>
      <c r="L551" s="18"/>
      <c r="M551" s="18"/>
      <c r="N551" s="18"/>
      <c r="O551" s="26" t="s">
        <v>1036</v>
      </c>
    </row>
    <row r="552" spans="1:15" ht="15" x14ac:dyDescent="0.25">
      <c r="A552">
        <v>550</v>
      </c>
      <c r="B552" s="8" t="s">
        <v>505</v>
      </c>
      <c r="C552" s="21" t="s">
        <v>1443</v>
      </c>
      <c r="D552" s="22" t="s">
        <v>5</v>
      </c>
      <c r="E552" s="15">
        <v>2370</v>
      </c>
      <c r="F552" s="23">
        <v>1568.77</v>
      </c>
      <c r="G552" s="24" t="s">
        <v>78</v>
      </c>
      <c r="H552" s="18">
        <v>1</v>
      </c>
      <c r="I552" s="19">
        <f>VLOOKUP(B552,[1]Лист2!$A:$J,10,0)</f>
        <v>2088.1999999999998</v>
      </c>
      <c r="J552" s="29">
        <v>2109.0819999999999</v>
      </c>
      <c r="K552" s="19">
        <f t="shared" si="8"/>
        <v>-260.91800000000012</v>
      </c>
      <c r="L552" s="18"/>
      <c r="M552" s="18"/>
      <c r="N552" s="18"/>
      <c r="O552" s="26" t="s">
        <v>1036</v>
      </c>
    </row>
    <row r="553" spans="1:15" ht="15" x14ac:dyDescent="0.25">
      <c r="A553">
        <v>551</v>
      </c>
      <c r="B553" s="7" t="s">
        <v>506</v>
      </c>
      <c r="C553" s="13" t="s">
        <v>1444</v>
      </c>
      <c r="D553" s="14" t="s">
        <v>275</v>
      </c>
      <c r="E553" s="15">
        <v>57074</v>
      </c>
      <c r="F553" s="16">
        <v>27619</v>
      </c>
      <c r="G553" s="17" t="s">
        <v>6</v>
      </c>
      <c r="H553" s="18">
        <v>1</v>
      </c>
      <c r="I553" s="19">
        <f>VLOOKUP(B553,[1]Лист2!$A:$J,10,0)</f>
        <v>29000.37</v>
      </c>
      <c r="J553" s="29">
        <v>29290.3737</v>
      </c>
      <c r="K553" s="19">
        <f t="shared" si="8"/>
        <v>-27783.6263</v>
      </c>
      <c r="L553" s="18"/>
      <c r="M553" s="18"/>
      <c r="N553" s="18"/>
      <c r="O553" s="26" t="s">
        <v>1036</v>
      </c>
    </row>
    <row r="554" spans="1:15" ht="15" x14ac:dyDescent="0.25">
      <c r="A554">
        <v>552</v>
      </c>
      <c r="B554" s="8" t="s">
        <v>507</v>
      </c>
      <c r="C554" s="21" t="s">
        <v>1445</v>
      </c>
      <c r="D554" s="22" t="s">
        <v>275</v>
      </c>
      <c r="E554" s="15">
        <v>17942</v>
      </c>
      <c r="F554" s="23">
        <v>6781</v>
      </c>
      <c r="G554" s="24" t="s">
        <v>6</v>
      </c>
      <c r="H554" s="18">
        <v>3</v>
      </c>
      <c r="I554" s="19">
        <f>VLOOKUP(B554,[1]Лист2!$A:$J,10,0)</f>
        <v>9002.9</v>
      </c>
      <c r="J554" s="29">
        <v>9092.9290000000001</v>
      </c>
      <c r="K554" s="19">
        <f t="shared" si="8"/>
        <v>-8849.0709999999999</v>
      </c>
      <c r="L554" s="18"/>
      <c r="M554" s="18"/>
      <c r="N554" s="18"/>
      <c r="O554" s="26" t="s">
        <v>1036</v>
      </c>
    </row>
    <row r="555" spans="1:15" ht="15" x14ac:dyDescent="0.25">
      <c r="A555">
        <v>553</v>
      </c>
      <c r="B555" s="7" t="s">
        <v>508</v>
      </c>
      <c r="C555" s="13" t="s">
        <v>1446</v>
      </c>
      <c r="D555" s="14" t="s">
        <v>111</v>
      </c>
      <c r="E555" s="16">
        <v>17785</v>
      </c>
      <c r="F555" s="15">
        <v>18977</v>
      </c>
      <c r="G555" s="17" t="s">
        <v>6</v>
      </c>
      <c r="H555" s="18">
        <v>1</v>
      </c>
      <c r="I555" s="19"/>
      <c r="J555" s="19">
        <v>18217.919999999998</v>
      </c>
      <c r="K555" s="19">
        <f t="shared" si="8"/>
        <v>432.91999999999825</v>
      </c>
      <c r="L555" s="18"/>
      <c r="M555" s="18"/>
      <c r="N555" s="18"/>
      <c r="O555" s="26" t="s">
        <v>1036</v>
      </c>
    </row>
    <row r="556" spans="1:15" ht="15" x14ac:dyDescent="0.25">
      <c r="A556">
        <v>554</v>
      </c>
      <c r="B556" s="8" t="s">
        <v>509</v>
      </c>
      <c r="C556" s="21" t="s">
        <v>1447</v>
      </c>
      <c r="D556" s="22" t="s">
        <v>111</v>
      </c>
      <c r="E556" s="15">
        <v>1860</v>
      </c>
      <c r="F556" s="23">
        <v>971</v>
      </c>
      <c r="G556" s="24" t="s">
        <v>6</v>
      </c>
      <c r="H556" s="18">
        <v>1</v>
      </c>
      <c r="I556" s="19">
        <f>VLOOKUP(B556,[1]Лист2!$A:$J,10,0)</f>
        <v>767.31499999999994</v>
      </c>
      <c r="J556" s="19">
        <v>932.16</v>
      </c>
      <c r="K556" s="19">
        <f t="shared" si="8"/>
        <v>-927.84</v>
      </c>
      <c r="L556" s="18"/>
      <c r="M556" s="18"/>
      <c r="N556" s="18"/>
      <c r="O556" s="26" t="s">
        <v>1036</v>
      </c>
    </row>
    <row r="557" spans="1:15" ht="15" x14ac:dyDescent="0.25">
      <c r="A557">
        <v>555</v>
      </c>
      <c r="B557" s="7" t="s">
        <v>509</v>
      </c>
      <c r="C557" s="13" t="s">
        <v>1447</v>
      </c>
      <c r="D557" s="14" t="s">
        <v>111</v>
      </c>
      <c r="E557" s="15">
        <v>1860</v>
      </c>
      <c r="F557" s="16">
        <v>971</v>
      </c>
      <c r="G557" s="17" t="s">
        <v>6</v>
      </c>
      <c r="H557" s="18">
        <v>1</v>
      </c>
      <c r="I557" s="19">
        <f>VLOOKUP(B557,[1]Лист2!$A:$J,10,0)</f>
        <v>767.31499999999994</v>
      </c>
      <c r="J557" s="19">
        <v>932.16</v>
      </c>
      <c r="K557" s="19">
        <f t="shared" si="8"/>
        <v>-927.84</v>
      </c>
      <c r="L557" s="18"/>
      <c r="M557" s="18"/>
      <c r="N557" s="18"/>
      <c r="O557" s="26" t="s">
        <v>1036</v>
      </c>
    </row>
    <row r="558" spans="1:15" ht="15" x14ac:dyDescent="0.25">
      <c r="A558">
        <v>556</v>
      </c>
      <c r="B558" s="8" t="s">
        <v>510</v>
      </c>
      <c r="C558" s="21" t="s">
        <v>1448</v>
      </c>
      <c r="D558" s="22" t="s">
        <v>5</v>
      </c>
      <c r="E558" s="23">
        <v>37721</v>
      </c>
      <c r="F558" s="15">
        <v>48261</v>
      </c>
      <c r="G558" s="24" t="s">
        <v>6</v>
      </c>
      <c r="H558" s="18">
        <v>1</v>
      </c>
      <c r="I558" s="19"/>
      <c r="J558" s="19">
        <v>42330.559999999998</v>
      </c>
      <c r="K558" s="19">
        <f t="shared" si="8"/>
        <v>4609.5599999999977</v>
      </c>
      <c r="L558" s="18"/>
      <c r="M558" s="18"/>
      <c r="N558" s="18"/>
      <c r="O558" s="26" t="s">
        <v>1036</v>
      </c>
    </row>
    <row r="559" spans="1:15" ht="15" x14ac:dyDescent="0.25">
      <c r="A559">
        <v>557</v>
      </c>
      <c r="B559" s="7" t="s">
        <v>511</v>
      </c>
      <c r="C559" s="13" t="s">
        <v>1449</v>
      </c>
      <c r="D559" s="14" t="s">
        <v>5</v>
      </c>
      <c r="E559" s="16">
        <v>25967</v>
      </c>
      <c r="F559" s="15">
        <v>33226</v>
      </c>
      <c r="G559" s="17" t="s">
        <v>6</v>
      </c>
      <c r="H559" s="18">
        <v>1</v>
      </c>
      <c r="I559" s="19"/>
      <c r="J559" s="19">
        <v>27530</v>
      </c>
      <c r="K559" s="19">
        <f t="shared" si="8"/>
        <v>1563</v>
      </c>
      <c r="L559" s="18"/>
      <c r="M559" s="18"/>
      <c r="N559" s="18"/>
      <c r="O559" s="26" t="s">
        <v>1036</v>
      </c>
    </row>
    <row r="560" spans="1:15" ht="15" x14ac:dyDescent="0.25">
      <c r="A560">
        <v>558</v>
      </c>
      <c r="B560" s="8" t="s">
        <v>512</v>
      </c>
      <c r="C560" s="21" t="s">
        <v>1045</v>
      </c>
      <c r="D560" s="22" t="s">
        <v>5</v>
      </c>
      <c r="E560" s="23">
        <v>33562</v>
      </c>
      <c r="F560" s="15">
        <v>42941</v>
      </c>
      <c r="G560" s="24" t="s">
        <v>6</v>
      </c>
      <c r="H560" s="18">
        <v>1</v>
      </c>
      <c r="I560" s="19"/>
      <c r="J560" s="19">
        <v>41223.360000000001</v>
      </c>
      <c r="K560" s="19">
        <f t="shared" si="8"/>
        <v>7661.3600000000006</v>
      </c>
      <c r="L560" s="18"/>
      <c r="M560" s="18"/>
      <c r="N560" s="18"/>
      <c r="O560" s="26" t="s">
        <v>1036</v>
      </c>
    </row>
    <row r="561" spans="1:15" ht="15" x14ac:dyDescent="0.25">
      <c r="A561">
        <v>559</v>
      </c>
      <c r="B561" s="7" t="s">
        <v>513</v>
      </c>
      <c r="C561" s="13" t="s">
        <v>1450</v>
      </c>
      <c r="D561" s="14" t="s">
        <v>5</v>
      </c>
      <c r="E561" s="15">
        <v>94708</v>
      </c>
      <c r="F561" s="16">
        <v>58942.13</v>
      </c>
      <c r="G561" s="17" t="s">
        <v>78</v>
      </c>
      <c r="H561" s="18">
        <v>5</v>
      </c>
      <c r="I561" s="19">
        <f>VLOOKUP(B561,[1]Лист2!$A:$J,10,0)</f>
        <v>84191.89</v>
      </c>
      <c r="J561" s="29">
        <v>85033.808900000004</v>
      </c>
      <c r="K561" s="19">
        <f t="shared" si="8"/>
        <v>-9674.1910999999964</v>
      </c>
      <c r="L561" s="18"/>
      <c r="M561" s="18"/>
      <c r="N561" s="18"/>
      <c r="O561" s="26" t="s">
        <v>1036</v>
      </c>
    </row>
    <row r="562" spans="1:15" ht="15" x14ac:dyDescent="0.25">
      <c r="A562">
        <v>560</v>
      </c>
      <c r="B562" s="8" t="s">
        <v>514</v>
      </c>
      <c r="C562" s="21" t="s">
        <v>1451</v>
      </c>
      <c r="D562" s="22" t="s">
        <v>5</v>
      </c>
      <c r="E562" s="23">
        <v>25710</v>
      </c>
      <c r="F562" s="15">
        <v>32897</v>
      </c>
      <c r="G562" s="24" t="s">
        <v>6</v>
      </c>
      <c r="H562" s="18">
        <v>1</v>
      </c>
      <c r="I562" s="19"/>
      <c r="J562" s="19">
        <v>27950</v>
      </c>
      <c r="K562" s="19">
        <f t="shared" si="8"/>
        <v>2240</v>
      </c>
      <c r="L562" s="18"/>
      <c r="M562" s="18"/>
      <c r="N562" s="18"/>
      <c r="O562" s="26" t="s">
        <v>1036</v>
      </c>
    </row>
    <row r="563" spans="1:15" ht="15" x14ac:dyDescent="0.25">
      <c r="A563">
        <v>561</v>
      </c>
      <c r="B563" s="7" t="s">
        <v>515</v>
      </c>
      <c r="C563" s="13" t="s">
        <v>1452</v>
      </c>
      <c r="D563" s="14" t="s">
        <v>275</v>
      </c>
      <c r="E563" s="15">
        <v>13259</v>
      </c>
      <c r="F563" s="16">
        <v>13071</v>
      </c>
      <c r="G563" s="17" t="s">
        <v>6</v>
      </c>
      <c r="H563" s="18">
        <v>1</v>
      </c>
      <c r="I563" s="19"/>
      <c r="J563" s="19">
        <v>13391.59</v>
      </c>
      <c r="K563" s="19">
        <f t="shared" si="8"/>
        <v>132.59000000000015</v>
      </c>
      <c r="L563" s="18"/>
      <c r="M563" s="18"/>
      <c r="N563" s="18"/>
      <c r="O563" s="26" t="s">
        <v>1036</v>
      </c>
    </row>
    <row r="564" spans="1:15" ht="15" x14ac:dyDescent="0.25">
      <c r="A564">
        <v>562</v>
      </c>
      <c r="B564" s="8" t="s">
        <v>516</v>
      </c>
      <c r="C564" s="21" t="s">
        <v>1453</v>
      </c>
      <c r="D564" s="22" t="s">
        <v>275</v>
      </c>
      <c r="E564" s="23">
        <v>12064</v>
      </c>
      <c r="F564" s="15">
        <v>12416</v>
      </c>
      <c r="G564" s="24" t="s">
        <v>6</v>
      </c>
      <c r="H564" s="18">
        <v>1</v>
      </c>
      <c r="I564" s="19"/>
      <c r="J564" s="19">
        <v>12184.64</v>
      </c>
      <c r="K564" s="19">
        <f t="shared" si="8"/>
        <v>120.63999999999942</v>
      </c>
      <c r="L564" s="18"/>
      <c r="M564" s="18"/>
      <c r="N564" s="18"/>
      <c r="O564" s="26" t="s">
        <v>1036</v>
      </c>
    </row>
    <row r="565" spans="1:15" ht="15" x14ac:dyDescent="0.25">
      <c r="A565">
        <v>563</v>
      </c>
      <c r="B565" s="7" t="s">
        <v>517</v>
      </c>
      <c r="C565" s="13" t="s">
        <v>1454</v>
      </c>
      <c r="D565" s="14" t="s">
        <v>8</v>
      </c>
      <c r="E565" s="16">
        <v>1121</v>
      </c>
      <c r="F565" s="15">
        <v>1586</v>
      </c>
      <c r="G565" s="17" t="s">
        <v>6</v>
      </c>
      <c r="H565" s="18">
        <v>1</v>
      </c>
      <c r="I565" s="19"/>
      <c r="J565" s="19">
        <v>1522.56</v>
      </c>
      <c r="K565" s="19">
        <f t="shared" si="8"/>
        <v>401.55999999999995</v>
      </c>
      <c r="L565" s="18"/>
      <c r="M565" s="18"/>
      <c r="N565" s="18"/>
      <c r="O565" s="26" t="s">
        <v>1036</v>
      </c>
    </row>
    <row r="566" spans="1:15" ht="15" x14ac:dyDescent="0.25">
      <c r="A566">
        <v>564</v>
      </c>
      <c r="B566" s="8" t="s">
        <v>518</v>
      </c>
      <c r="C566" s="21" t="s">
        <v>1455</v>
      </c>
      <c r="D566" s="22" t="s">
        <v>8</v>
      </c>
      <c r="E566" s="23">
        <v>1233</v>
      </c>
      <c r="F566" s="15">
        <v>1395</v>
      </c>
      <c r="G566" s="24" t="s">
        <v>6</v>
      </c>
      <c r="H566" s="18">
        <v>5</v>
      </c>
      <c r="I566" s="19"/>
      <c r="J566" s="19">
        <v>1339.2</v>
      </c>
      <c r="K566" s="19">
        <f t="shared" si="8"/>
        <v>106.20000000000005</v>
      </c>
      <c r="L566" s="18"/>
      <c r="M566" s="18"/>
      <c r="N566" s="18"/>
      <c r="O566" s="26" t="s">
        <v>1036</v>
      </c>
    </row>
    <row r="567" spans="1:15" ht="15" x14ac:dyDescent="0.25">
      <c r="A567">
        <v>565</v>
      </c>
      <c r="B567" s="7" t="s">
        <v>518</v>
      </c>
      <c r="C567" s="13" t="s">
        <v>1455</v>
      </c>
      <c r="D567" s="14" t="s">
        <v>8</v>
      </c>
      <c r="E567" s="16">
        <v>1188</v>
      </c>
      <c r="F567" s="15">
        <v>1395</v>
      </c>
      <c r="G567" s="17" t="s">
        <v>6</v>
      </c>
      <c r="H567" s="18">
        <v>2</v>
      </c>
      <c r="I567" s="19"/>
      <c r="J567" s="19">
        <v>1339.2</v>
      </c>
      <c r="K567" s="19">
        <f t="shared" si="8"/>
        <v>151.20000000000005</v>
      </c>
      <c r="L567" s="18"/>
      <c r="M567" s="18"/>
      <c r="N567" s="18"/>
      <c r="O567" s="26" t="s">
        <v>1036</v>
      </c>
    </row>
    <row r="568" spans="1:15" ht="15" x14ac:dyDescent="0.25">
      <c r="A568">
        <v>566</v>
      </c>
      <c r="B568" s="8" t="s">
        <v>519</v>
      </c>
      <c r="C568" s="21" t="s">
        <v>1125</v>
      </c>
      <c r="D568" s="22" t="s">
        <v>8</v>
      </c>
      <c r="E568" s="15">
        <v>1186</v>
      </c>
      <c r="F568" s="23">
        <v>302</v>
      </c>
      <c r="G568" s="24" t="s">
        <v>6</v>
      </c>
      <c r="H568" s="18">
        <v>1</v>
      </c>
      <c r="I568" s="19">
        <f>VLOOKUP(B568,[1]Лист2!$A:$J,10,0)</f>
        <v>356.57</v>
      </c>
      <c r="J568" s="29">
        <v>360.13569999999999</v>
      </c>
      <c r="K568" s="19">
        <f t="shared" si="8"/>
        <v>-825.86429999999996</v>
      </c>
      <c r="L568" s="18"/>
      <c r="M568" s="18"/>
      <c r="N568" s="18"/>
      <c r="O568" s="26" t="s">
        <v>1036</v>
      </c>
    </row>
    <row r="569" spans="1:15" ht="15" x14ac:dyDescent="0.25">
      <c r="A569">
        <v>567</v>
      </c>
      <c r="B569" s="7" t="s">
        <v>520</v>
      </c>
      <c r="C569" s="13" t="s">
        <v>1456</v>
      </c>
      <c r="D569" s="14" t="s">
        <v>8</v>
      </c>
      <c r="E569" s="15">
        <v>4641</v>
      </c>
      <c r="F569" s="16">
        <v>1714.42</v>
      </c>
      <c r="G569" s="17" t="s">
        <v>9</v>
      </c>
      <c r="H569" s="18">
        <v>1</v>
      </c>
      <c r="I569" s="19">
        <f>VLOOKUP(B569,[1]Лист2!$A:$J,10,0)</f>
        <v>1626.2349999999999</v>
      </c>
      <c r="J569" s="19">
        <v>1645.8432</v>
      </c>
      <c r="K569" s="19">
        <f t="shared" si="8"/>
        <v>-2995.1567999999997</v>
      </c>
      <c r="L569" s="18"/>
      <c r="M569" s="18"/>
      <c r="N569" s="18"/>
      <c r="O569" s="26" t="s">
        <v>1036</v>
      </c>
    </row>
    <row r="570" spans="1:15" ht="15" x14ac:dyDescent="0.25">
      <c r="A570">
        <v>568</v>
      </c>
      <c r="B570" s="8" t="s">
        <v>521</v>
      </c>
      <c r="C570" s="21" t="s">
        <v>1457</v>
      </c>
      <c r="D570" s="22" t="s">
        <v>8</v>
      </c>
      <c r="E570" s="15">
        <v>4350</v>
      </c>
      <c r="F570" s="23">
        <v>3364</v>
      </c>
      <c r="G570" s="24" t="s">
        <v>6</v>
      </c>
      <c r="H570" s="18">
        <v>1</v>
      </c>
      <c r="I570" s="19"/>
      <c r="J570" s="19">
        <v>4393.5</v>
      </c>
      <c r="K570" s="19">
        <f t="shared" si="8"/>
        <v>43.5</v>
      </c>
      <c r="L570" s="18"/>
      <c r="M570" s="18"/>
      <c r="N570" s="18"/>
      <c r="O570" s="26" t="s">
        <v>1036</v>
      </c>
    </row>
    <row r="571" spans="1:15" ht="15" x14ac:dyDescent="0.25">
      <c r="A571">
        <v>569</v>
      </c>
      <c r="B571" s="7" t="s">
        <v>522</v>
      </c>
      <c r="C571" s="13" t="s">
        <v>1458</v>
      </c>
      <c r="D571" s="14" t="s">
        <v>8</v>
      </c>
      <c r="E571" s="15">
        <v>9605</v>
      </c>
      <c r="F571" s="16">
        <v>3367</v>
      </c>
      <c r="G571" s="17" t="s">
        <v>6</v>
      </c>
      <c r="H571" s="18">
        <v>1</v>
      </c>
      <c r="I571" s="19">
        <f>VLOOKUP(B571,[1]Лист2!$A:$J,10,0)</f>
        <v>2667.38</v>
      </c>
      <c r="J571" s="19">
        <v>3232.3199999999997</v>
      </c>
      <c r="K571" s="19">
        <f t="shared" si="8"/>
        <v>-6372.68</v>
      </c>
      <c r="L571" s="18"/>
      <c r="M571" s="18"/>
      <c r="N571" s="18"/>
      <c r="O571" s="26" t="s">
        <v>1036</v>
      </c>
    </row>
    <row r="572" spans="1:15" ht="15" x14ac:dyDescent="0.25">
      <c r="A572">
        <v>570</v>
      </c>
      <c r="B572" s="8" t="s">
        <v>523</v>
      </c>
      <c r="C572" s="21" t="s">
        <v>1459</v>
      </c>
      <c r="D572" s="22" t="s">
        <v>8</v>
      </c>
      <c r="E572" s="15">
        <v>5149</v>
      </c>
      <c r="F572" s="23">
        <v>773</v>
      </c>
      <c r="G572" s="24" t="s">
        <v>6</v>
      </c>
      <c r="H572" s="18">
        <v>1</v>
      </c>
      <c r="I572" s="19">
        <f>VLOOKUP(B572,[1]Лист2!$A:$J,10,0)</f>
        <v>804.745</v>
      </c>
      <c r="J572" s="29">
        <v>812.79245000000003</v>
      </c>
      <c r="K572" s="19">
        <f t="shared" si="8"/>
        <v>-4336.2075500000001</v>
      </c>
      <c r="L572" s="18"/>
      <c r="M572" s="18"/>
      <c r="N572" s="18"/>
      <c r="O572" s="26" t="s">
        <v>1036</v>
      </c>
    </row>
    <row r="573" spans="1:15" ht="15" x14ac:dyDescent="0.25">
      <c r="A573">
        <v>571</v>
      </c>
      <c r="B573" s="7" t="s">
        <v>524</v>
      </c>
      <c r="C573" s="13" t="s">
        <v>1460</v>
      </c>
      <c r="D573" s="14" t="s">
        <v>119</v>
      </c>
      <c r="E573" s="15">
        <v>2886</v>
      </c>
      <c r="F573" s="16">
        <v>914</v>
      </c>
      <c r="G573" s="17" t="s">
        <v>6</v>
      </c>
      <c r="H573" s="18">
        <v>1</v>
      </c>
      <c r="I573" s="19">
        <f>VLOOKUP(B573,[1]Лист2!$A:$J,10,0)</f>
        <v>922.94499999999994</v>
      </c>
      <c r="J573" s="29">
        <v>932.17444999999998</v>
      </c>
      <c r="K573" s="19">
        <f t="shared" si="8"/>
        <v>-1953.82555</v>
      </c>
      <c r="L573" s="18"/>
      <c r="M573" s="18"/>
      <c r="N573" s="18"/>
      <c r="O573" s="26" t="s">
        <v>1036</v>
      </c>
    </row>
    <row r="574" spans="1:15" ht="15" x14ac:dyDescent="0.25">
      <c r="A574">
        <v>572</v>
      </c>
      <c r="B574" s="8" t="s">
        <v>524</v>
      </c>
      <c r="C574" s="21" t="s">
        <v>1460</v>
      </c>
      <c r="D574" s="22" t="s">
        <v>119</v>
      </c>
      <c r="E574" s="15">
        <v>3609</v>
      </c>
      <c r="F574" s="23">
        <v>914</v>
      </c>
      <c r="G574" s="24" t="s">
        <v>6</v>
      </c>
      <c r="H574" s="18">
        <v>1</v>
      </c>
      <c r="I574" s="19">
        <f>VLOOKUP(B574,[1]Лист2!$A:$J,10,0)</f>
        <v>922.94499999999994</v>
      </c>
      <c r="J574" s="29">
        <v>1150</v>
      </c>
      <c r="K574" s="19">
        <f t="shared" si="8"/>
        <v>-2459</v>
      </c>
      <c r="L574" s="18"/>
      <c r="M574" s="18"/>
      <c r="N574" s="18"/>
      <c r="O574" s="26" t="s">
        <v>1036</v>
      </c>
    </row>
    <row r="575" spans="1:15" ht="15" x14ac:dyDescent="0.25">
      <c r="A575">
        <v>573</v>
      </c>
      <c r="B575" s="7" t="s">
        <v>525</v>
      </c>
      <c r="C575" s="13" t="s">
        <v>1443</v>
      </c>
      <c r="D575" s="14" t="s">
        <v>5</v>
      </c>
      <c r="E575" s="16">
        <v>7095</v>
      </c>
      <c r="F575" s="15">
        <v>9085</v>
      </c>
      <c r="G575" s="17" t="s">
        <v>6</v>
      </c>
      <c r="H575" s="18">
        <v>1</v>
      </c>
      <c r="I575" s="19"/>
      <c r="J575" s="19">
        <v>8721.6</v>
      </c>
      <c r="K575" s="19">
        <f t="shared" si="8"/>
        <v>1626.6000000000004</v>
      </c>
      <c r="L575" s="18"/>
      <c r="M575" s="18"/>
      <c r="N575" s="18"/>
      <c r="O575" s="26" t="s">
        <v>1036</v>
      </c>
    </row>
    <row r="576" spans="1:15" ht="15" x14ac:dyDescent="0.25">
      <c r="A576">
        <v>574</v>
      </c>
      <c r="B576" s="8" t="s">
        <v>526</v>
      </c>
      <c r="C576" s="21" t="s">
        <v>1461</v>
      </c>
      <c r="D576" s="22" t="s">
        <v>8</v>
      </c>
      <c r="E576" s="23">
        <v>1339</v>
      </c>
      <c r="F576" s="15">
        <v>1396</v>
      </c>
      <c r="G576" s="24" t="s">
        <v>6</v>
      </c>
      <c r="H576" s="18">
        <v>1</v>
      </c>
      <c r="I576" s="19"/>
      <c r="J576" s="19">
        <v>1340.1599999999999</v>
      </c>
      <c r="K576" s="19">
        <f t="shared" si="8"/>
        <v>1.1599999999998545</v>
      </c>
      <c r="L576" s="18"/>
      <c r="M576" s="18"/>
      <c r="N576" s="18"/>
      <c r="O576" s="26" t="s">
        <v>1036</v>
      </c>
    </row>
    <row r="577" spans="1:15" ht="15" x14ac:dyDescent="0.25">
      <c r="A577">
        <v>575</v>
      </c>
      <c r="B577" s="7" t="s">
        <v>527</v>
      </c>
      <c r="C577" s="13" t="s">
        <v>1462</v>
      </c>
      <c r="D577" s="14" t="s">
        <v>8</v>
      </c>
      <c r="E577" s="15">
        <v>1604</v>
      </c>
      <c r="F577" s="16">
        <v>1342</v>
      </c>
      <c r="G577" s="17" t="s">
        <v>6</v>
      </c>
      <c r="H577" s="18">
        <v>1</v>
      </c>
      <c r="I577" s="19">
        <f>VLOOKUP(B577,[1]Лист2!$A:$J,10,0)</f>
        <v>1375.06</v>
      </c>
      <c r="J577" s="29">
        <v>1388.8106</v>
      </c>
      <c r="K577" s="19">
        <f t="shared" si="8"/>
        <v>-215.18939999999998</v>
      </c>
      <c r="L577" s="18"/>
      <c r="M577" s="18"/>
      <c r="N577" s="18"/>
      <c r="O577" s="26" t="s">
        <v>1036</v>
      </c>
    </row>
    <row r="578" spans="1:15" ht="15" x14ac:dyDescent="0.25">
      <c r="A578">
        <v>576</v>
      </c>
      <c r="B578" s="8" t="s">
        <v>528</v>
      </c>
      <c r="C578" s="21" t="s">
        <v>1463</v>
      </c>
      <c r="D578" s="22" t="s">
        <v>8</v>
      </c>
      <c r="E578" s="15">
        <v>2676</v>
      </c>
      <c r="F578" s="23">
        <v>857</v>
      </c>
      <c r="G578" s="24" t="s">
        <v>6</v>
      </c>
      <c r="H578" s="18">
        <v>1</v>
      </c>
      <c r="I578" s="19">
        <f>VLOOKUP(B578,[1]Лист2!$A:$J,10,0)</f>
        <v>873.69499999999994</v>
      </c>
      <c r="J578" s="29">
        <v>882.43194999999992</v>
      </c>
      <c r="K578" s="19">
        <f t="shared" si="8"/>
        <v>-1793.5680500000001</v>
      </c>
      <c r="L578" s="18"/>
      <c r="M578" s="18"/>
      <c r="N578" s="18"/>
      <c r="O578" s="26" t="s">
        <v>1036</v>
      </c>
    </row>
    <row r="579" spans="1:15" ht="15" x14ac:dyDescent="0.25">
      <c r="A579">
        <v>577</v>
      </c>
      <c r="B579" s="7" t="s">
        <v>529</v>
      </c>
      <c r="C579" s="13" t="s">
        <v>1464</v>
      </c>
      <c r="D579" s="14" t="s">
        <v>8</v>
      </c>
      <c r="E579" s="15">
        <v>2051</v>
      </c>
      <c r="F579" s="16">
        <v>515.63</v>
      </c>
      <c r="G579" s="17" t="s">
        <v>11</v>
      </c>
      <c r="H579" s="18">
        <v>1</v>
      </c>
      <c r="I579" s="19">
        <f>VLOOKUP(B579,[1]Лист2!$A:$J,10,0)</f>
        <v>537.80999999999995</v>
      </c>
      <c r="J579" s="29">
        <v>543.18809999999996</v>
      </c>
      <c r="K579" s="19">
        <f t="shared" ref="K579:K642" si="9">J579-E579</f>
        <v>-1507.8119000000002</v>
      </c>
      <c r="L579" s="18"/>
      <c r="M579" s="18"/>
      <c r="N579" s="18"/>
      <c r="O579" s="26" t="s">
        <v>1036</v>
      </c>
    </row>
    <row r="580" spans="1:15" ht="15" x14ac:dyDescent="0.25">
      <c r="A580">
        <v>578</v>
      </c>
      <c r="B580" s="8" t="s">
        <v>530</v>
      </c>
      <c r="C580" s="21" t="s">
        <v>1465</v>
      </c>
      <c r="D580" s="22" t="s">
        <v>8</v>
      </c>
      <c r="E580" s="15">
        <v>5889</v>
      </c>
      <c r="F580" s="23">
        <v>1308</v>
      </c>
      <c r="G580" s="24" t="s">
        <v>6</v>
      </c>
      <c r="H580" s="18">
        <v>1</v>
      </c>
      <c r="I580" s="19">
        <f>VLOOKUP(B580,[1]Лист2!$A:$J,10,0)</f>
        <v>1086.4549999999999</v>
      </c>
      <c r="J580" s="19">
        <v>2750</v>
      </c>
      <c r="K580" s="19">
        <f t="shared" si="9"/>
        <v>-3139</v>
      </c>
      <c r="L580" s="18"/>
      <c r="M580" s="18"/>
      <c r="N580" s="18"/>
      <c r="O580" s="26" t="s">
        <v>1036</v>
      </c>
    </row>
    <row r="581" spans="1:15" ht="15" x14ac:dyDescent="0.25">
      <c r="A581">
        <v>579</v>
      </c>
      <c r="B581" s="7" t="s">
        <v>531</v>
      </c>
      <c r="C581" s="13" t="s">
        <v>1466</v>
      </c>
      <c r="D581" s="14" t="s">
        <v>8</v>
      </c>
      <c r="E581" s="15">
        <v>6284</v>
      </c>
      <c r="F581" s="16">
        <v>3684</v>
      </c>
      <c r="G581" s="17" t="s">
        <v>6</v>
      </c>
      <c r="H581" s="18">
        <v>3</v>
      </c>
      <c r="I581" s="19">
        <f>VLOOKUP(B581,[1]Лист2!$A:$J,10,0)</f>
        <v>2835.8150000000001</v>
      </c>
      <c r="J581" s="19">
        <v>3536.64</v>
      </c>
      <c r="K581" s="19">
        <f t="shared" si="9"/>
        <v>-2747.36</v>
      </c>
      <c r="L581" s="18"/>
      <c r="M581" s="18"/>
      <c r="N581" s="18"/>
      <c r="O581" s="26" t="s">
        <v>1036</v>
      </c>
    </row>
    <row r="582" spans="1:15" ht="15" x14ac:dyDescent="0.25">
      <c r="A582">
        <v>580</v>
      </c>
      <c r="B582" s="8" t="s">
        <v>531</v>
      </c>
      <c r="C582" s="21" t="s">
        <v>1466</v>
      </c>
      <c r="D582" s="22" t="s">
        <v>8</v>
      </c>
      <c r="E582" s="15">
        <v>6284</v>
      </c>
      <c r="F582" s="23">
        <v>3684</v>
      </c>
      <c r="G582" s="24" t="s">
        <v>6</v>
      </c>
      <c r="H582" s="18">
        <v>1</v>
      </c>
      <c r="I582" s="19">
        <f>VLOOKUP(B582,[1]Лист2!$A:$J,10,0)</f>
        <v>2835.8150000000001</v>
      </c>
      <c r="J582" s="19">
        <v>3536.64</v>
      </c>
      <c r="K582" s="19">
        <f t="shared" si="9"/>
        <v>-2747.36</v>
      </c>
      <c r="L582" s="18"/>
      <c r="M582" s="18"/>
      <c r="N582" s="18"/>
      <c r="O582" s="26" t="s">
        <v>1036</v>
      </c>
    </row>
    <row r="583" spans="1:15" ht="15" x14ac:dyDescent="0.25">
      <c r="A583">
        <v>581</v>
      </c>
      <c r="B583" s="7" t="s">
        <v>531</v>
      </c>
      <c r="C583" s="13" t="s">
        <v>1466</v>
      </c>
      <c r="D583" s="14" t="s">
        <v>8</v>
      </c>
      <c r="E583" s="15">
        <v>6205</v>
      </c>
      <c r="F583" s="16">
        <v>3684</v>
      </c>
      <c r="G583" s="17" t="s">
        <v>6</v>
      </c>
      <c r="H583" s="18">
        <v>1</v>
      </c>
      <c r="I583" s="19">
        <f>VLOOKUP(B583,[1]Лист2!$A:$J,10,0)</f>
        <v>2835.8150000000001</v>
      </c>
      <c r="J583" s="19">
        <v>3536.64</v>
      </c>
      <c r="K583" s="19">
        <f t="shared" si="9"/>
        <v>-2668.36</v>
      </c>
      <c r="L583" s="18"/>
      <c r="M583" s="18"/>
      <c r="N583" s="18"/>
      <c r="O583" s="26" t="s">
        <v>1036</v>
      </c>
    </row>
    <row r="584" spans="1:15" ht="15" x14ac:dyDescent="0.25">
      <c r="A584">
        <v>582</v>
      </c>
      <c r="B584" s="8" t="s">
        <v>531</v>
      </c>
      <c r="C584" s="21" t="s">
        <v>1466</v>
      </c>
      <c r="D584" s="22" t="s">
        <v>8</v>
      </c>
      <c r="E584" s="15">
        <v>6205</v>
      </c>
      <c r="F584" s="23">
        <v>3684</v>
      </c>
      <c r="G584" s="24" t="s">
        <v>6</v>
      </c>
      <c r="H584" s="18">
        <v>2</v>
      </c>
      <c r="I584" s="19">
        <f>VLOOKUP(B584,[1]Лист2!$A:$J,10,0)</f>
        <v>2835.8150000000001</v>
      </c>
      <c r="J584" s="19">
        <v>3536.64</v>
      </c>
      <c r="K584" s="19">
        <f t="shared" si="9"/>
        <v>-2668.36</v>
      </c>
      <c r="L584" s="18"/>
      <c r="M584" s="18"/>
      <c r="N584" s="18"/>
      <c r="O584" s="26" t="s">
        <v>1036</v>
      </c>
    </row>
    <row r="585" spans="1:15" ht="15" x14ac:dyDescent="0.25">
      <c r="A585">
        <v>583</v>
      </c>
      <c r="B585" s="7" t="s">
        <v>531</v>
      </c>
      <c r="C585" s="13" t="s">
        <v>1466</v>
      </c>
      <c r="D585" s="14" t="s">
        <v>8</v>
      </c>
      <c r="E585" s="15">
        <v>6095</v>
      </c>
      <c r="F585" s="16">
        <v>3684</v>
      </c>
      <c r="G585" s="17" t="s">
        <v>6</v>
      </c>
      <c r="H585" s="18">
        <v>2</v>
      </c>
      <c r="I585" s="19">
        <f>VLOOKUP(B585,[1]Лист2!$A:$J,10,0)</f>
        <v>2835.8150000000001</v>
      </c>
      <c r="J585" s="19">
        <v>3536.64</v>
      </c>
      <c r="K585" s="19">
        <f t="shared" si="9"/>
        <v>-2558.36</v>
      </c>
      <c r="L585" s="18"/>
      <c r="M585" s="18"/>
      <c r="N585" s="18"/>
      <c r="O585" s="26" t="s">
        <v>1036</v>
      </c>
    </row>
    <row r="586" spans="1:15" ht="15" x14ac:dyDescent="0.25">
      <c r="A586">
        <v>584</v>
      </c>
      <c r="B586" s="8" t="s">
        <v>532</v>
      </c>
      <c r="C586" s="21" t="s">
        <v>1467</v>
      </c>
      <c r="D586" s="22" t="s">
        <v>8</v>
      </c>
      <c r="E586" s="15">
        <v>1387</v>
      </c>
      <c r="F586" s="23">
        <v>811</v>
      </c>
      <c r="G586" s="24" t="s">
        <v>6</v>
      </c>
      <c r="H586" s="18">
        <v>3</v>
      </c>
      <c r="I586" s="19">
        <f>VLOOKUP(B586,[1]Лист2!$A:$J,10,0)</f>
        <v>834.29499999999996</v>
      </c>
      <c r="J586" s="29">
        <v>842.63794999999993</v>
      </c>
      <c r="K586" s="19">
        <f t="shared" si="9"/>
        <v>-544.36205000000007</v>
      </c>
      <c r="L586" s="18"/>
      <c r="M586" s="18"/>
      <c r="N586" s="18"/>
      <c r="O586" s="26" t="s">
        <v>1036</v>
      </c>
    </row>
    <row r="587" spans="1:15" ht="15" x14ac:dyDescent="0.25">
      <c r="A587">
        <v>585</v>
      </c>
      <c r="B587" s="7" t="s">
        <v>532</v>
      </c>
      <c r="C587" s="13" t="s">
        <v>1467</v>
      </c>
      <c r="D587" s="14" t="s">
        <v>8</v>
      </c>
      <c r="E587" s="15">
        <v>1387</v>
      </c>
      <c r="F587" s="16">
        <v>811</v>
      </c>
      <c r="G587" s="17" t="s">
        <v>6</v>
      </c>
      <c r="H587" s="18">
        <v>1</v>
      </c>
      <c r="I587" s="19">
        <f>VLOOKUP(B587,[1]Лист2!$A:$J,10,0)</f>
        <v>834.29499999999996</v>
      </c>
      <c r="J587" s="29">
        <v>842.63794999999993</v>
      </c>
      <c r="K587" s="19">
        <f t="shared" si="9"/>
        <v>-544.36205000000007</v>
      </c>
      <c r="L587" s="18"/>
      <c r="M587" s="18"/>
      <c r="N587" s="18"/>
      <c r="O587" s="26" t="s">
        <v>1036</v>
      </c>
    </row>
    <row r="588" spans="1:15" ht="15" x14ac:dyDescent="0.25">
      <c r="A588">
        <v>586</v>
      </c>
      <c r="B588" s="8" t="s">
        <v>533</v>
      </c>
      <c r="C588" s="21" t="s">
        <v>1467</v>
      </c>
      <c r="D588" s="22" t="s">
        <v>8</v>
      </c>
      <c r="E588" s="15">
        <v>1387</v>
      </c>
      <c r="F588" s="23">
        <v>976</v>
      </c>
      <c r="G588" s="24" t="s">
        <v>6</v>
      </c>
      <c r="H588" s="18">
        <v>1</v>
      </c>
      <c r="I588" s="19">
        <f>VLOOKUP(B588,[1]Лист2!$A:$J,10,0)</f>
        <v>995.83500000000004</v>
      </c>
      <c r="J588" s="29">
        <v>1005.79335</v>
      </c>
      <c r="K588" s="19">
        <f t="shared" si="9"/>
        <v>-381.20664999999997</v>
      </c>
      <c r="L588" s="18"/>
      <c r="M588" s="18"/>
      <c r="N588" s="18"/>
      <c r="O588" s="26" t="s">
        <v>1036</v>
      </c>
    </row>
    <row r="589" spans="1:15" ht="15" x14ac:dyDescent="0.25">
      <c r="A589">
        <v>587</v>
      </c>
      <c r="B589" s="7" t="s">
        <v>533</v>
      </c>
      <c r="C589" s="13" t="s">
        <v>1467</v>
      </c>
      <c r="D589" s="14" t="s">
        <v>8</v>
      </c>
      <c r="E589" s="15">
        <v>1387</v>
      </c>
      <c r="F589" s="16">
        <v>976</v>
      </c>
      <c r="G589" s="17" t="s">
        <v>6</v>
      </c>
      <c r="H589" s="18">
        <v>3</v>
      </c>
      <c r="I589" s="19">
        <f>VLOOKUP(B589,[1]Лист2!$A:$J,10,0)</f>
        <v>995.83500000000004</v>
      </c>
      <c r="J589" s="29">
        <v>1005.79335</v>
      </c>
      <c r="K589" s="19">
        <f t="shared" si="9"/>
        <v>-381.20664999999997</v>
      </c>
      <c r="L589" s="18"/>
      <c r="M589" s="18"/>
      <c r="N589" s="18"/>
      <c r="O589" s="26" t="s">
        <v>1036</v>
      </c>
    </row>
    <row r="590" spans="1:15" ht="15" x14ac:dyDescent="0.25">
      <c r="A590">
        <v>588</v>
      </c>
      <c r="B590" s="8" t="s">
        <v>534</v>
      </c>
      <c r="C590" s="21" t="s">
        <v>1468</v>
      </c>
      <c r="D590" s="22" t="s">
        <v>8</v>
      </c>
      <c r="E590" s="15">
        <v>1271</v>
      </c>
      <c r="F590" s="23">
        <v>369</v>
      </c>
      <c r="G590" s="24" t="s">
        <v>6</v>
      </c>
      <c r="H590" s="18">
        <v>3</v>
      </c>
      <c r="I590" s="19">
        <f>VLOOKUP(B590,[1]Лист2!$A:$J,10,0)</f>
        <v>369.375</v>
      </c>
      <c r="J590" s="29">
        <v>373.06875000000002</v>
      </c>
      <c r="K590" s="19">
        <f t="shared" si="9"/>
        <v>-897.93124999999998</v>
      </c>
      <c r="L590" s="18"/>
      <c r="M590" s="18"/>
      <c r="N590" s="18"/>
      <c r="O590" s="26" t="s">
        <v>1036</v>
      </c>
    </row>
    <row r="591" spans="1:15" ht="15" x14ac:dyDescent="0.25">
      <c r="A591">
        <v>589</v>
      </c>
      <c r="B591" s="7" t="s">
        <v>534</v>
      </c>
      <c r="C591" s="13" t="s">
        <v>1468</v>
      </c>
      <c r="D591" s="14" t="s">
        <v>8</v>
      </c>
      <c r="E591" s="15">
        <v>1271</v>
      </c>
      <c r="F591" s="16">
        <v>369</v>
      </c>
      <c r="G591" s="17" t="s">
        <v>6</v>
      </c>
      <c r="H591" s="18">
        <v>1</v>
      </c>
      <c r="I591" s="19">
        <f>VLOOKUP(B591,[1]Лист2!$A:$J,10,0)</f>
        <v>369.375</v>
      </c>
      <c r="J591" s="29">
        <v>373.06875000000002</v>
      </c>
      <c r="K591" s="19">
        <f t="shared" si="9"/>
        <v>-897.93124999999998</v>
      </c>
      <c r="L591" s="18"/>
      <c r="M591" s="18"/>
      <c r="N591" s="18"/>
      <c r="O591" s="26" t="s">
        <v>1036</v>
      </c>
    </row>
    <row r="592" spans="1:15" ht="15" x14ac:dyDescent="0.25">
      <c r="A592">
        <v>590</v>
      </c>
      <c r="B592" s="8" t="s">
        <v>535</v>
      </c>
      <c r="C592" s="21" t="s">
        <v>1468</v>
      </c>
      <c r="D592" s="22" t="s">
        <v>8</v>
      </c>
      <c r="E592" s="23">
        <v>1351</v>
      </c>
      <c r="F592" s="15">
        <v>1594</v>
      </c>
      <c r="G592" s="24" t="s">
        <v>6</v>
      </c>
      <c r="H592" s="18">
        <v>1</v>
      </c>
      <c r="I592" s="19"/>
      <c r="J592" s="19">
        <v>1530.24</v>
      </c>
      <c r="K592" s="19">
        <f t="shared" si="9"/>
        <v>179.24</v>
      </c>
      <c r="L592" s="18"/>
      <c r="M592" s="18"/>
      <c r="N592" s="18"/>
      <c r="O592" s="26" t="s">
        <v>1036</v>
      </c>
    </row>
    <row r="593" spans="1:15" ht="15" x14ac:dyDescent="0.25">
      <c r="A593">
        <v>591</v>
      </c>
      <c r="B593" s="7" t="s">
        <v>535</v>
      </c>
      <c r="C593" s="13" t="s">
        <v>1468</v>
      </c>
      <c r="D593" s="14" t="s">
        <v>8</v>
      </c>
      <c r="E593" s="16">
        <v>1351</v>
      </c>
      <c r="F593" s="15">
        <v>1594</v>
      </c>
      <c r="G593" s="17" t="s">
        <v>6</v>
      </c>
      <c r="H593" s="18">
        <v>1</v>
      </c>
      <c r="I593" s="19"/>
      <c r="J593" s="19">
        <v>1530.24</v>
      </c>
      <c r="K593" s="19">
        <f t="shared" si="9"/>
        <v>179.24</v>
      </c>
      <c r="L593" s="18"/>
      <c r="M593" s="18"/>
      <c r="N593" s="18"/>
      <c r="O593" s="26" t="s">
        <v>1036</v>
      </c>
    </row>
    <row r="594" spans="1:15" ht="15" x14ac:dyDescent="0.25">
      <c r="A594">
        <v>592</v>
      </c>
      <c r="B594" s="8" t="s">
        <v>536</v>
      </c>
      <c r="C594" s="21" t="s">
        <v>1469</v>
      </c>
      <c r="D594" s="22" t="s">
        <v>8</v>
      </c>
      <c r="E594" s="15">
        <v>7013</v>
      </c>
      <c r="F594" s="23">
        <v>2487.64</v>
      </c>
      <c r="G594" s="24" t="s">
        <v>9</v>
      </c>
      <c r="H594" s="18">
        <v>3</v>
      </c>
      <c r="I594" s="19">
        <f>VLOOKUP(B594,[1]Лист2!$A:$J,10,0)</f>
        <v>2032.0550000000001</v>
      </c>
      <c r="J594" s="19">
        <v>2969</v>
      </c>
      <c r="K594" s="19">
        <f t="shared" si="9"/>
        <v>-4044</v>
      </c>
      <c r="L594" s="18"/>
      <c r="M594" s="18"/>
      <c r="N594" s="18"/>
      <c r="O594" s="26" t="s">
        <v>1036</v>
      </c>
    </row>
    <row r="595" spans="1:15" ht="15" x14ac:dyDescent="0.25">
      <c r="A595">
        <v>593</v>
      </c>
      <c r="B595" s="7" t="s">
        <v>536</v>
      </c>
      <c r="C595" s="13" t="s">
        <v>1469</v>
      </c>
      <c r="D595" s="14" t="s">
        <v>8</v>
      </c>
      <c r="E595" s="15">
        <v>7072</v>
      </c>
      <c r="F595" s="16">
        <v>2487.64</v>
      </c>
      <c r="G595" s="17" t="s">
        <v>9</v>
      </c>
      <c r="H595" s="18">
        <v>1</v>
      </c>
      <c r="I595" s="19">
        <f>VLOOKUP(B595,[1]Лист2!$A:$J,10,0)</f>
        <v>2032.0550000000001</v>
      </c>
      <c r="J595" s="19">
        <v>3750</v>
      </c>
      <c r="K595" s="19">
        <f t="shared" si="9"/>
        <v>-3322</v>
      </c>
      <c r="L595" s="18"/>
      <c r="M595" s="18"/>
      <c r="N595" s="18"/>
      <c r="O595" s="26" t="s">
        <v>1036</v>
      </c>
    </row>
    <row r="596" spans="1:15" ht="15" x14ac:dyDescent="0.25">
      <c r="A596">
        <v>594</v>
      </c>
      <c r="B596" s="8" t="s">
        <v>536</v>
      </c>
      <c r="C596" s="21" t="s">
        <v>1469</v>
      </c>
      <c r="D596" s="22" t="s">
        <v>8</v>
      </c>
      <c r="E596" s="15">
        <v>7072</v>
      </c>
      <c r="F596" s="23">
        <v>2487.64</v>
      </c>
      <c r="G596" s="24" t="s">
        <v>9</v>
      </c>
      <c r="H596" s="18">
        <v>1</v>
      </c>
      <c r="I596" s="19">
        <f>VLOOKUP(B596,[1]Лист2!$A:$J,10,0)</f>
        <v>2032.0550000000001</v>
      </c>
      <c r="J596" s="19">
        <v>3750</v>
      </c>
      <c r="K596" s="19">
        <f t="shared" si="9"/>
        <v>-3322</v>
      </c>
      <c r="L596" s="18"/>
      <c r="M596" s="18"/>
      <c r="N596" s="18"/>
      <c r="O596" s="26" t="s">
        <v>1036</v>
      </c>
    </row>
    <row r="597" spans="1:15" ht="15" x14ac:dyDescent="0.25">
      <c r="A597">
        <v>595</v>
      </c>
      <c r="B597" s="7" t="s">
        <v>537</v>
      </c>
      <c r="C597" s="13" t="s">
        <v>1469</v>
      </c>
      <c r="D597" s="14" t="s">
        <v>8</v>
      </c>
      <c r="E597" s="15">
        <v>7002</v>
      </c>
      <c r="F597" s="16">
        <v>2030</v>
      </c>
      <c r="G597" s="17" t="s">
        <v>6</v>
      </c>
      <c r="H597" s="18">
        <v>1</v>
      </c>
      <c r="I597" s="19">
        <f>VLOOKUP(B597,[1]Лист2!$A:$J,10,0)</f>
        <v>1712.915</v>
      </c>
      <c r="J597" s="19">
        <v>3750</v>
      </c>
      <c r="K597" s="19">
        <f t="shared" si="9"/>
        <v>-3252</v>
      </c>
      <c r="L597" s="18"/>
      <c r="M597" s="18"/>
      <c r="N597" s="18"/>
      <c r="O597" s="26" t="s">
        <v>1036</v>
      </c>
    </row>
    <row r="598" spans="1:15" ht="15" x14ac:dyDescent="0.25">
      <c r="A598">
        <v>596</v>
      </c>
      <c r="B598" s="8" t="s">
        <v>537</v>
      </c>
      <c r="C598" s="21" t="s">
        <v>1469</v>
      </c>
      <c r="D598" s="22" t="s">
        <v>8</v>
      </c>
      <c r="E598" s="15">
        <v>7002</v>
      </c>
      <c r="F598" s="23">
        <v>2030</v>
      </c>
      <c r="G598" s="24" t="s">
        <v>6</v>
      </c>
      <c r="H598" s="18">
        <v>2</v>
      </c>
      <c r="I598" s="19">
        <f>VLOOKUP(B598,[1]Лист2!$A:$J,10,0)</f>
        <v>1712.915</v>
      </c>
      <c r="J598" s="19">
        <v>3750</v>
      </c>
      <c r="K598" s="19">
        <f t="shared" si="9"/>
        <v>-3252</v>
      </c>
      <c r="L598" s="18"/>
      <c r="M598" s="18"/>
      <c r="N598" s="18"/>
      <c r="O598" s="26" t="s">
        <v>1036</v>
      </c>
    </row>
    <row r="599" spans="1:15" ht="15" x14ac:dyDescent="0.25">
      <c r="A599">
        <v>597</v>
      </c>
      <c r="B599" s="7" t="s">
        <v>538</v>
      </c>
      <c r="C599" s="13" t="s">
        <v>1470</v>
      </c>
      <c r="D599" s="14" t="s">
        <v>8</v>
      </c>
      <c r="E599" s="15">
        <v>25658</v>
      </c>
      <c r="F599" s="16">
        <v>14420</v>
      </c>
      <c r="G599" s="17" t="s">
        <v>6</v>
      </c>
      <c r="H599" s="18">
        <v>1</v>
      </c>
      <c r="I599" s="19">
        <f>VLOOKUP(B599,[1]Лист2!$A:$J,10,0)</f>
        <v>14484.424999999999</v>
      </c>
      <c r="J599" s="29">
        <v>14629.269249999999</v>
      </c>
      <c r="K599" s="19">
        <f t="shared" si="9"/>
        <v>-11028.730750000001</v>
      </c>
      <c r="L599" s="18"/>
      <c r="M599" s="18"/>
      <c r="N599" s="18"/>
      <c r="O599" s="26" t="s">
        <v>1036</v>
      </c>
    </row>
    <row r="600" spans="1:15" ht="15" x14ac:dyDescent="0.25">
      <c r="A600">
        <v>598</v>
      </c>
      <c r="B600" s="8" t="s">
        <v>539</v>
      </c>
      <c r="C600" s="21" t="s">
        <v>1050</v>
      </c>
      <c r="D600" s="22" t="s">
        <v>8</v>
      </c>
      <c r="E600" s="15">
        <v>22745</v>
      </c>
      <c r="F600" s="23">
        <v>18005</v>
      </c>
      <c r="G600" s="24" t="s">
        <v>6</v>
      </c>
      <c r="H600" s="18">
        <v>2</v>
      </c>
      <c r="I600" s="19">
        <f>VLOOKUP(B600,[1]Лист2!$A:$J,10,0)</f>
        <v>18764.25</v>
      </c>
      <c r="J600" s="29">
        <v>18951.892500000002</v>
      </c>
      <c r="K600" s="19">
        <f t="shared" si="9"/>
        <v>-3793.1074999999983</v>
      </c>
      <c r="L600" s="18"/>
      <c r="M600" s="18"/>
      <c r="N600" s="18"/>
      <c r="O600" s="26" t="s">
        <v>1036</v>
      </c>
    </row>
    <row r="601" spans="1:15" ht="15" x14ac:dyDescent="0.25">
      <c r="A601">
        <v>599</v>
      </c>
      <c r="B601" s="7" t="s">
        <v>540</v>
      </c>
      <c r="C601" s="13" t="s">
        <v>1471</v>
      </c>
      <c r="D601" s="14" t="s">
        <v>119</v>
      </c>
      <c r="E601" s="15">
        <v>16524</v>
      </c>
      <c r="F601" s="16">
        <v>4723</v>
      </c>
      <c r="G601" s="17" t="s">
        <v>6</v>
      </c>
      <c r="H601" s="18">
        <v>1</v>
      </c>
      <c r="I601" s="19">
        <f>VLOOKUP(B601,[1]Лист2!$A:$J,10,0)</f>
        <v>3708.5250000000001</v>
      </c>
      <c r="J601" s="19">
        <v>8500</v>
      </c>
      <c r="K601" s="19">
        <f t="shared" si="9"/>
        <v>-8024</v>
      </c>
      <c r="L601" s="18"/>
      <c r="M601" s="18"/>
      <c r="N601" s="18"/>
      <c r="O601" s="26" t="s">
        <v>1036</v>
      </c>
    </row>
    <row r="602" spans="1:15" ht="15" x14ac:dyDescent="0.25">
      <c r="A602">
        <v>600</v>
      </c>
      <c r="B602" s="8" t="s">
        <v>541</v>
      </c>
      <c r="C602" s="21" t="s">
        <v>1472</v>
      </c>
      <c r="D602" s="22" t="s">
        <v>5</v>
      </c>
      <c r="E602" s="15">
        <v>31427</v>
      </c>
      <c r="F602" s="23">
        <v>23294.080000000002</v>
      </c>
      <c r="G602" s="24" t="s">
        <v>9</v>
      </c>
      <c r="H602" s="18">
        <v>1</v>
      </c>
      <c r="I602" s="19">
        <f>VLOOKUP(B602,[1]Лист2!$A:$J,10,0)</f>
        <v>23423.3</v>
      </c>
      <c r="J602" s="29">
        <v>23657.532999999999</v>
      </c>
      <c r="K602" s="19">
        <f t="shared" si="9"/>
        <v>-7769.4670000000006</v>
      </c>
      <c r="L602" s="18"/>
      <c r="M602" s="18"/>
      <c r="N602" s="18"/>
      <c r="O602" s="26" t="s">
        <v>1036</v>
      </c>
    </row>
    <row r="603" spans="1:15" ht="15" x14ac:dyDescent="0.25">
      <c r="A603">
        <v>601</v>
      </c>
      <c r="B603" s="7" t="s">
        <v>542</v>
      </c>
      <c r="C603" s="13" t="s">
        <v>1429</v>
      </c>
      <c r="D603" s="14" t="s">
        <v>5</v>
      </c>
      <c r="E603" s="15">
        <v>2340</v>
      </c>
      <c r="F603" s="16">
        <v>1318</v>
      </c>
      <c r="G603" s="17" t="s">
        <v>6</v>
      </c>
      <c r="H603" s="18">
        <v>1</v>
      </c>
      <c r="I603" s="19">
        <f>VLOOKUP(B603,[1]Лист2!$A:$J,10,0)</f>
        <v>1700.11</v>
      </c>
      <c r="J603" s="29">
        <v>1717.1110999999999</v>
      </c>
      <c r="K603" s="19">
        <f t="shared" si="9"/>
        <v>-622.88890000000015</v>
      </c>
      <c r="L603" s="18"/>
      <c r="M603" s="18"/>
      <c r="N603" s="18"/>
      <c r="O603" s="26" t="s">
        <v>1036</v>
      </c>
    </row>
    <row r="604" spans="1:15" ht="15" x14ac:dyDescent="0.25">
      <c r="A604">
        <v>602</v>
      </c>
      <c r="B604" s="8" t="s">
        <v>543</v>
      </c>
      <c r="C604" s="21" t="s">
        <v>1473</v>
      </c>
      <c r="D604" s="22" t="s">
        <v>8</v>
      </c>
      <c r="E604" s="23">
        <v>6562</v>
      </c>
      <c r="F604" s="15">
        <v>7704</v>
      </c>
      <c r="G604" s="24" t="s">
        <v>6</v>
      </c>
      <c r="H604" s="18">
        <v>1</v>
      </c>
      <c r="I604" s="19"/>
      <c r="J604" s="19">
        <v>7395.84</v>
      </c>
      <c r="K604" s="19">
        <f t="shared" si="9"/>
        <v>833.84000000000015</v>
      </c>
      <c r="L604" s="18"/>
      <c r="M604" s="18"/>
      <c r="N604" s="18"/>
      <c r="O604" s="26" t="s">
        <v>1036</v>
      </c>
    </row>
    <row r="605" spans="1:15" ht="15" x14ac:dyDescent="0.25">
      <c r="A605">
        <v>603</v>
      </c>
      <c r="B605" s="7" t="s">
        <v>544</v>
      </c>
      <c r="C605" s="13" t="s">
        <v>1301</v>
      </c>
      <c r="D605" s="14" t="s">
        <v>8</v>
      </c>
      <c r="E605" s="16">
        <v>3928</v>
      </c>
      <c r="F605" s="15">
        <v>4615</v>
      </c>
      <c r="G605" s="17" t="s">
        <v>6</v>
      </c>
      <c r="H605" s="18">
        <v>1</v>
      </c>
      <c r="I605" s="19"/>
      <c r="J605" s="19">
        <v>4430.3999999999996</v>
      </c>
      <c r="K605" s="19">
        <f t="shared" si="9"/>
        <v>502.39999999999964</v>
      </c>
      <c r="L605" s="18"/>
      <c r="M605" s="18"/>
      <c r="N605" s="18"/>
      <c r="O605" s="26" t="s">
        <v>1036</v>
      </c>
    </row>
    <row r="606" spans="1:15" ht="15" x14ac:dyDescent="0.25">
      <c r="A606">
        <v>604</v>
      </c>
      <c r="B606" s="8" t="s">
        <v>545</v>
      </c>
      <c r="C606" s="21" t="s">
        <v>1474</v>
      </c>
      <c r="D606" s="22" t="s">
        <v>8</v>
      </c>
      <c r="E606" s="15">
        <v>4478</v>
      </c>
      <c r="F606" s="23">
        <v>23</v>
      </c>
      <c r="G606" s="24" t="s">
        <v>6</v>
      </c>
      <c r="H606" s="18">
        <v>3</v>
      </c>
      <c r="I606" s="19">
        <f>VLOOKUP(B606,[1]Лист2!$A:$J,10,0)</f>
        <v>20.684999999999999</v>
      </c>
      <c r="J606" s="19">
        <v>990</v>
      </c>
      <c r="K606" s="19">
        <f t="shared" si="9"/>
        <v>-3488</v>
      </c>
      <c r="L606" s="18"/>
      <c r="M606" s="18"/>
      <c r="N606" s="18"/>
      <c r="O606" s="26" t="s">
        <v>1036</v>
      </c>
    </row>
    <row r="607" spans="1:15" ht="15" x14ac:dyDescent="0.25">
      <c r="A607">
        <v>605</v>
      </c>
      <c r="B607" s="7" t="s">
        <v>546</v>
      </c>
      <c r="C607" s="13" t="s">
        <v>1475</v>
      </c>
      <c r="D607" s="14" t="s">
        <v>8</v>
      </c>
      <c r="E607" s="16">
        <v>4363</v>
      </c>
      <c r="F607" s="15">
        <v>5125</v>
      </c>
      <c r="G607" s="17" t="s">
        <v>6</v>
      </c>
      <c r="H607" s="18">
        <v>1</v>
      </c>
      <c r="I607" s="19"/>
      <c r="J607" s="19">
        <v>4920</v>
      </c>
      <c r="K607" s="19">
        <f t="shared" si="9"/>
        <v>557</v>
      </c>
      <c r="L607" s="18"/>
      <c r="M607" s="18"/>
      <c r="N607" s="18"/>
      <c r="O607" s="26" t="s">
        <v>1036</v>
      </c>
    </row>
    <row r="608" spans="1:15" ht="15" x14ac:dyDescent="0.25">
      <c r="A608">
        <v>606</v>
      </c>
      <c r="B608" s="8" t="s">
        <v>547</v>
      </c>
      <c r="C608" s="21" t="s">
        <v>1476</v>
      </c>
      <c r="D608" s="22" t="s">
        <v>8</v>
      </c>
      <c r="E608" s="23">
        <v>13788</v>
      </c>
      <c r="F608" s="15">
        <v>16177</v>
      </c>
      <c r="G608" s="24" t="s">
        <v>6</v>
      </c>
      <c r="H608" s="18">
        <v>2</v>
      </c>
      <c r="I608" s="19"/>
      <c r="J608" s="19">
        <v>15529.92</v>
      </c>
      <c r="K608" s="19">
        <f t="shared" si="9"/>
        <v>1741.92</v>
      </c>
      <c r="L608" s="18"/>
      <c r="M608" s="18"/>
      <c r="N608" s="18"/>
      <c r="O608" s="26" t="s">
        <v>1036</v>
      </c>
    </row>
    <row r="609" spans="1:15" ht="15" x14ac:dyDescent="0.25">
      <c r="A609">
        <v>607</v>
      </c>
      <c r="B609" s="7" t="s">
        <v>548</v>
      </c>
      <c r="C609" s="13" t="s">
        <v>1477</v>
      </c>
      <c r="D609" s="14" t="s">
        <v>8</v>
      </c>
      <c r="E609" s="15">
        <v>2123</v>
      </c>
      <c r="F609" s="16">
        <v>501</v>
      </c>
      <c r="G609" s="17" t="s">
        <v>6</v>
      </c>
      <c r="H609" s="18">
        <v>2</v>
      </c>
      <c r="I609" s="19">
        <f>VLOOKUP(B609,[1]Лист2!$A:$J,10,0)</f>
        <v>542.73500000000001</v>
      </c>
      <c r="J609" s="29">
        <v>548.16235000000006</v>
      </c>
      <c r="K609" s="19">
        <f t="shared" si="9"/>
        <v>-1574.8376499999999</v>
      </c>
      <c r="L609" s="18"/>
      <c r="M609" s="18"/>
      <c r="N609" s="18"/>
      <c r="O609" s="26" t="s">
        <v>1036</v>
      </c>
    </row>
    <row r="610" spans="1:15" ht="15" x14ac:dyDescent="0.25">
      <c r="A610">
        <v>608</v>
      </c>
      <c r="B610" s="8" t="s">
        <v>549</v>
      </c>
      <c r="C610" s="21" t="s">
        <v>1478</v>
      </c>
      <c r="D610" s="22" t="s">
        <v>8</v>
      </c>
      <c r="E610" s="15">
        <v>11652</v>
      </c>
      <c r="F610" s="23">
        <v>5529</v>
      </c>
      <c r="G610" s="24" t="s">
        <v>6</v>
      </c>
      <c r="H610" s="18">
        <v>2</v>
      </c>
      <c r="I610" s="19">
        <f>VLOOKUP(B610,[1]Лист2!$A:$J,10,0)</f>
        <v>4432.5</v>
      </c>
      <c r="J610" s="19">
        <v>5307.84</v>
      </c>
      <c r="K610" s="19">
        <f t="shared" si="9"/>
        <v>-6344.16</v>
      </c>
      <c r="L610" s="18"/>
      <c r="M610" s="18"/>
      <c r="N610" s="18"/>
      <c r="O610" s="26" t="s">
        <v>1036</v>
      </c>
    </row>
    <row r="611" spans="1:15" ht="15" x14ac:dyDescent="0.25">
      <c r="A611">
        <v>609</v>
      </c>
      <c r="B611" s="7" t="s">
        <v>549</v>
      </c>
      <c r="C611" s="13" t="s">
        <v>1478</v>
      </c>
      <c r="D611" s="14" t="s">
        <v>8</v>
      </c>
      <c r="E611" s="15">
        <v>11505</v>
      </c>
      <c r="F611" s="16">
        <v>5529</v>
      </c>
      <c r="G611" s="17" t="s">
        <v>6</v>
      </c>
      <c r="H611" s="18">
        <v>1</v>
      </c>
      <c r="I611" s="19">
        <f>VLOOKUP(B611,[1]Лист2!$A:$J,10,0)</f>
        <v>4432.5</v>
      </c>
      <c r="J611" s="19">
        <v>5307.84</v>
      </c>
      <c r="K611" s="19">
        <f t="shared" si="9"/>
        <v>-6197.16</v>
      </c>
      <c r="L611" s="18"/>
      <c r="M611" s="18"/>
      <c r="N611" s="18"/>
      <c r="O611" s="26" t="s">
        <v>1036</v>
      </c>
    </row>
    <row r="612" spans="1:15" ht="15" x14ac:dyDescent="0.25">
      <c r="A612">
        <v>610</v>
      </c>
      <c r="B612" s="8" t="s">
        <v>550</v>
      </c>
      <c r="C612" s="21" t="s">
        <v>1479</v>
      </c>
      <c r="D612" s="22" t="s">
        <v>8</v>
      </c>
      <c r="E612" s="15">
        <v>11652</v>
      </c>
      <c r="F612" s="23">
        <v>5973</v>
      </c>
      <c r="G612" s="24" t="s">
        <v>6</v>
      </c>
      <c r="H612" s="18">
        <v>2</v>
      </c>
      <c r="I612" s="19">
        <f>VLOOKUP(B612,[1]Лист2!$A:$J,10,0)</f>
        <v>6044.9449999999997</v>
      </c>
      <c r="J612" s="29">
        <v>6105.3944499999998</v>
      </c>
      <c r="K612" s="19">
        <f t="shared" si="9"/>
        <v>-5546.6055500000002</v>
      </c>
      <c r="L612" s="18"/>
      <c r="M612" s="18"/>
      <c r="N612" s="18"/>
      <c r="O612" s="26" t="s">
        <v>1036</v>
      </c>
    </row>
    <row r="613" spans="1:15" ht="15" x14ac:dyDescent="0.25">
      <c r="A613">
        <v>611</v>
      </c>
      <c r="B613" s="7" t="s">
        <v>129</v>
      </c>
      <c r="C613" s="13" t="s">
        <v>1125</v>
      </c>
      <c r="D613" s="14" t="s">
        <v>8</v>
      </c>
      <c r="E613" s="15">
        <v>1192</v>
      </c>
      <c r="F613" s="16">
        <v>238</v>
      </c>
      <c r="G613" s="17" t="s">
        <v>6</v>
      </c>
      <c r="H613" s="18">
        <v>1</v>
      </c>
      <c r="I613" s="19">
        <f>VLOOKUP(B613,[1]Лист2!$A:$J,10,0)</f>
        <v>242.31</v>
      </c>
      <c r="J613" s="29">
        <v>526</v>
      </c>
      <c r="K613" s="19">
        <f t="shared" si="9"/>
        <v>-666</v>
      </c>
      <c r="L613" s="18"/>
      <c r="M613" s="18"/>
      <c r="N613" s="18"/>
      <c r="O613" s="26" t="s">
        <v>1036</v>
      </c>
    </row>
    <row r="614" spans="1:15" ht="15" x14ac:dyDescent="0.25">
      <c r="A614">
        <v>612</v>
      </c>
      <c r="B614" s="8" t="s">
        <v>551</v>
      </c>
      <c r="C614" s="21" t="s">
        <v>1480</v>
      </c>
      <c r="D614" s="22" t="s">
        <v>8</v>
      </c>
      <c r="E614" s="15">
        <v>1692</v>
      </c>
      <c r="F614" s="23">
        <v>440</v>
      </c>
      <c r="G614" s="24" t="s">
        <v>6</v>
      </c>
      <c r="H614" s="18">
        <v>4</v>
      </c>
      <c r="I614" s="19">
        <f>VLOOKUP(B614,[1]Лист2!$A:$J,10,0)</f>
        <v>454.08499999999998</v>
      </c>
      <c r="J614" s="29">
        <v>458.62584999999996</v>
      </c>
      <c r="K614" s="19">
        <f t="shared" si="9"/>
        <v>-1233.3741500000001</v>
      </c>
      <c r="L614" s="18"/>
      <c r="M614" s="18"/>
      <c r="N614" s="18"/>
      <c r="O614" s="26" t="s">
        <v>1036</v>
      </c>
    </row>
    <row r="615" spans="1:15" ht="15" x14ac:dyDescent="0.25">
      <c r="A615">
        <v>613</v>
      </c>
      <c r="B615" s="7" t="s">
        <v>552</v>
      </c>
      <c r="C615" s="13" t="s">
        <v>1481</v>
      </c>
      <c r="D615" s="14" t="s">
        <v>64</v>
      </c>
      <c r="E615" s="16">
        <v>2177</v>
      </c>
      <c r="F615" s="15">
        <v>2677</v>
      </c>
      <c r="G615" s="17" t="s">
        <v>6</v>
      </c>
      <c r="H615" s="18">
        <v>1</v>
      </c>
      <c r="I615" s="19"/>
      <c r="J615" s="19">
        <v>2569.92</v>
      </c>
      <c r="K615" s="19">
        <f t="shared" si="9"/>
        <v>392.92000000000007</v>
      </c>
      <c r="L615" s="18"/>
      <c r="M615" s="18"/>
      <c r="N615" s="18"/>
      <c r="O615" s="26" t="s">
        <v>1036</v>
      </c>
    </row>
    <row r="616" spans="1:15" ht="15" x14ac:dyDescent="0.25">
      <c r="A616">
        <v>614</v>
      </c>
      <c r="B616" s="8" t="s">
        <v>553</v>
      </c>
      <c r="C616" s="21" t="s">
        <v>1482</v>
      </c>
      <c r="D616" s="22" t="s">
        <v>8</v>
      </c>
      <c r="E616" s="15">
        <v>5844</v>
      </c>
      <c r="F616" s="23">
        <v>4695</v>
      </c>
      <c r="G616" s="24" t="s">
        <v>6</v>
      </c>
      <c r="H616" s="18">
        <v>2</v>
      </c>
      <c r="I616" s="19">
        <f>VLOOKUP(B616,[1]Лист2!$A:$J,10,0)</f>
        <v>4669.8850000000002</v>
      </c>
      <c r="J616" s="29">
        <v>4716.58385</v>
      </c>
      <c r="K616" s="19">
        <f t="shared" si="9"/>
        <v>-1127.41615</v>
      </c>
      <c r="L616" s="18"/>
      <c r="M616" s="18"/>
      <c r="N616" s="18"/>
      <c r="O616" s="26" t="s">
        <v>1036</v>
      </c>
    </row>
    <row r="617" spans="1:15" ht="15" x14ac:dyDescent="0.25">
      <c r="A617">
        <v>615</v>
      </c>
      <c r="B617" s="7" t="s">
        <v>554</v>
      </c>
      <c r="C617" s="13" t="s">
        <v>1483</v>
      </c>
      <c r="D617" s="14" t="s">
        <v>8</v>
      </c>
      <c r="E617" s="15">
        <v>4580</v>
      </c>
      <c r="F617" s="16">
        <v>2165.7600000000002</v>
      </c>
      <c r="G617" s="17" t="s">
        <v>78</v>
      </c>
      <c r="H617" s="18">
        <v>2</v>
      </c>
      <c r="I617" s="19">
        <f>VLOOKUP(B617,[1]Лист2!$A:$J,10,0)</f>
        <v>2474.3200000000002</v>
      </c>
      <c r="J617" s="29">
        <v>2499.0632000000001</v>
      </c>
      <c r="K617" s="19">
        <f t="shared" si="9"/>
        <v>-2080.9367999999999</v>
      </c>
      <c r="L617" s="18"/>
      <c r="M617" s="18"/>
      <c r="N617" s="18"/>
      <c r="O617" s="26" t="s">
        <v>1036</v>
      </c>
    </row>
    <row r="618" spans="1:15" ht="15" x14ac:dyDescent="0.25">
      <c r="A618">
        <v>616</v>
      </c>
      <c r="B618" s="8" t="s">
        <v>554</v>
      </c>
      <c r="C618" s="21" t="s">
        <v>1483</v>
      </c>
      <c r="D618" s="22" t="s">
        <v>8</v>
      </c>
      <c r="E618" s="15">
        <v>4580</v>
      </c>
      <c r="F618" s="23">
        <v>2165.7600000000002</v>
      </c>
      <c r="G618" s="24" t="s">
        <v>78</v>
      </c>
      <c r="H618" s="18">
        <v>1</v>
      </c>
      <c r="I618" s="19">
        <f>VLOOKUP(B618,[1]Лист2!$A:$J,10,0)</f>
        <v>2474.3200000000002</v>
      </c>
      <c r="J618" s="29">
        <v>2499.0632000000001</v>
      </c>
      <c r="K618" s="19">
        <f t="shared" si="9"/>
        <v>-2080.9367999999999</v>
      </c>
      <c r="L618" s="18"/>
      <c r="M618" s="18"/>
      <c r="N618" s="18"/>
      <c r="O618" s="26" t="s">
        <v>1036</v>
      </c>
    </row>
    <row r="619" spans="1:15" ht="15" x14ac:dyDescent="0.25">
      <c r="A619">
        <v>617</v>
      </c>
      <c r="B619" s="7" t="s">
        <v>555</v>
      </c>
      <c r="C619" s="13" t="s">
        <v>1484</v>
      </c>
      <c r="D619" s="14" t="s">
        <v>8</v>
      </c>
      <c r="E619" s="15">
        <v>2806</v>
      </c>
      <c r="F619" s="16">
        <v>1334</v>
      </c>
      <c r="G619" s="17" t="s">
        <v>6</v>
      </c>
      <c r="H619" s="18">
        <v>1</v>
      </c>
      <c r="I619" s="19">
        <f>VLOOKUP(B619,[1]Лист2!$A:$J,10,0)</f>
        <v>1484.395</v>
      </c>
      <c r="J619" s="29">
        <v>1499.2389499999999</v>
      </c>
      <c r="K619" s="19">
        <f t="shared" si="9"/>
        <v>-1306.7610500000001</v>
      </c>
      <c r="L619" s="18"/>
      <c r="M619" s="18"/>
      <c r="N619" s="18"/>
      <c r="O619" s="26" t="s">
        <v>1036</v>
      </c>
    </row>
    <row r="620" spans="1:15" ht="15" x14ac:dyDescent="0.25">
      <c r="A620">
        <v>618</v>
      </c>
      <c r="B620" s="8" t="s">
        <v>556</v>
      </c>
      <c r="C620" s="21" t="s">
        <v>1466</v>
      </c>
      <c r="D620" s="22" t="s">
        <v>8</v>
      </c>
      <c r="E620" s="15">
        <v>1277</v>
      </c>
      <c r="F620" s="23">
        <v>905</v>
      </c>
      <c r="G620" s="24" t="s">
        <v>6</v>
      </c>
      <c r="H620" s="18">
        <v>1</v>
      </c>
      <c r="I620" s="19">
        <f>VLOOKUP(B620,[1]Лист2!$A:$J,10,0)</f>
        <v>616.61</v>
      </c>
      <c r="J620" s="19">
        <v>868.8</v>
      </c>
      <c r="K620" s="19">
        <f t="shared" si="9"/>
        <v>-408.20000000000005</v>
      </c>
      <c r="L620" s="18"/>
      <c r="M620" s="18"/>
      <c r="N620" s="18"/>
      <c r="O620" s="26" t="s">
        <v>1036</v>
      </c>
    </row>
    <row r="621" spans="1:15" ht="15" x14ac:dyDescent="0.25">
      <c r="A621">
        <v>619</v>
      </c>
      <c r="B621" s="7" t="s">
        <v>557</v>
      </c>
      <c r="C621" s="13" t="s">
        <v>1139</v>
      </c>
      <c r="D621" s="14" t="s">
        <v>8</v>
      </c>
      <c r="E621" s="15">
        <v>1473</v>
      </c>
      <c r="F621" s="16">
        <v>864</v>
      </c>
      <c r="G621" s="17" t="s">
        <v>6</v>
      </c>
      <c r="H621" s="18">
        <v>2</v>
      </c>
      <c r="I621" s="19">
        <f>VLOOKUP(B621,[1]Лист2!$A:$J,10,0)</f>
        <v>332.93</v>
      </c>
      <c r="J621" s="19">
        <v>829.43999999999994</v>
      </c>
      <c r="K621" s="19">
        <f t="shared" si="9"/>
        <v>-643.56000000000006</v>
      </c>
      <c r="L621" s="18"/>
      <c r="M621" s="18"/>
      <c r="N621" s="18"/>
      <c r="O621" s="26" t="s">
        <v>1036</v>
      </c>
    </row>
    <row r="622" spans="1:15" ht="15" x14ac:dyDescent="0.25">
      <c r="A622">
        <v>620</v>
      </c>
      <c r="B622" s="8" t="s">
        <v>558</v>
      </c>
      <c r="C622" s="21" t="s">
        <v>1140</v>
      </c>
      <c r="D622" s="22" t="s">
        <v>8</v>
      </c>
      <c r="E622" s="23">
        <v>1474</v>
      </c>
      <c r="F622" s="15">
        <v>1492</v>
      </c>
      <c r="G622" s="24" t="s">
        <v>6</v>
      </c>
      <c r="H622" s="18">
        <v>1</v>
      </c>
      <c r="I622" s="19"/>
      <c r="J622" s="19">
        <v>1488.74</v>
      </c>
      <c r="K622" s="19">
        <f t="shared" si="9"/>
        <v>14.740000000000009</v>
      </c>
      <c r="L622" s="18"/>
      <c r="M622" s="18"/>
      <c r="N622" s="18"/>
      <c r="O622" s="26" t="s">
        <v>1036</v>
      </c>
    </row>
    <row r="623" spans="1:15" ht="15" x14ac:dyDescent="0.25">
      <c r="A623">
        <v>621</v>
      </c>
      <c r="B623" s="7" t="s">
        <v>559</v>
      </c>
      <c r="C623" s="13" t="s">
        <v>1485</v>
      </c>
      <c r="D623" s="14" t="s">
        <v>8</v>
      </c>
      <c r="E623" s="16">
        <v>2658</v>
      </c>
      <c r="F623" s="15">
        <v>3126</v>
      </c>
      <c r="G623" s="17" t="s">
        <v>6</v>
      </c>
      <c r="H623" s="18">
        <v>1</v>
      </c>
      <c r="I623" s="19"/>
      <c r="J623" s="19">
        <v>3000.96</v>
      </c>
      <c r="K623" s="19">
        <f t="shared" si="9"/>
        <v>342.96000000000004</v>
      </c>
      <c r="L623" s="18"/>
      <c r="M623" s="18"/>
      <c r="N623" s="18"/>
      <c r="O623" s="26" t="s">
        <v>1036</v>
      </c>
    </row>
    <row r="624" spans="1:15" ht="15" x14ac:dyDescent="0.25">
      <c r="A624">
        <v>622</v>
      </c>
      <c r="B624" s="8" t="s">
        <v>560</v>
      </c>
      <c r="C624" s="21" t="s">
        <v>1265</v>
      </c>
      <c r="D624" s="22" t="s">
        <v>8</v>
      </c>
      <c r="E624" s="15">
        <v>25786</v>
      </c>
      <c r="F624" s="23">
        <v>15227</v>
      </c>
      <c r="G624" s="24" t="s">
        <v>6</v>
      </c>
      <c r="H624" s="18">
        <v>1</v>
      </c>
      <c r="I624" s="19">
        <f>VLOOKUP(B624,[1]Лист2!$A:$J,10,0)</f>
        <v>15858.5</v>
      </c>
      <c r="J624" s="29">
        <v>16017.085000000001</v>
      </c>
      <c r="K624" s="19">
        <f t="shared" si="9"/>
        <v>-9768.9149999999991</v>
      </c>
      <c r="L624" s="18"/>
      <c r="M624" s="18"/>
      <c r="N624" s="18"/>
      <c r="O624" s="26" t="s">
        <v>1036</v>
      </c>
    </row>
    <row r="625" spans="1:15" ht="15" x14ac:dyDescent="0.25">
      <c r="A625">
        <v>623</v>
      </c>
      <c r="B625" s="7" t="s">
        <v>561</v>
      </c>
      <c r="C625" s="13" t="s">
        <v>1486</v>
      </c>
      <c r="D625" s="14" t="s">
        <v>8</v>
      </c>
      <c r="E625" s="15">
        <v>15074</v>
      </c>
      <c r="F625" s="16">
        <v>10034</v>
      </c>
      <c r="G625" s="17" t="s">
        <v>6</v>
      </c>
      <c r="H625" s="18">
        <v>2</v>
      </c>
      <c r="I625" s="19">
        <f>VLOOKUP(B625,[1]Лист2!$A:$J,10,0)</f>
        <v>5551.46</v>
      </c>
      <c r="J625" s="19">
        <v>9632.64</v>
      </c>
      <c r="K625" s="19">
        <f t="shared" si="9"/>
        <v>-5441.3600000000006</v>
      </c>
      <c r="L625" s="18"/>
      <c r="M625" s="18"/>
      <c r="N625" s="18"/>
      <c r="O625" s="26" t="s">
        <v>1036</v>
      </c>
    </row>
    <row r="626" spans="1:15" ht="15" x14ac:dyDescent="0.25">
      <c r="A626">
        <v>624</v>
      </c>
      <c r="B626" s="8" t="s">
        <v>561</v>
      </c>
      <c r="C626" s="21" t="s">
        <v>1486</v>
      </c>
      <c r="D626" s="22" t="s">
        <v>8</v>
      </c>
      <c r="E626" s="15">
        <v>10842</v>
      </c>
      <c r="F626" s="23">
        <v>10034</v>
      </c>
      <c r="G626" s="24" t="s">
        <v>6</v>
      </c>
      <c r="H626" s="18">
        <v>2</v>
      </c>
      <c r="I626" s="19">
        <f>VLOOKUP(B626,[1]Лист2!$A:$J,10,0)</f>
        <v>5551.46</v>
      </c>
      <c r="J626" s="19">
        <v>9632.64</v>
      </c>
      <c r="K626" s="19">
        <f t="shared" si="9"/>
        <v>-1209.3600000000006</v>
      </c>
      <c r="L626" s="18"/>
      <c r="M626" s="18"/>
      <c r="N626" s="18"/>
      <c r="O626" s="26" t="s">
        <v>1036</v>
      </c>
    </row>
    <row r="627" spans="1:15" ht="15" x14ac:dyDescent="0.25">
      <c r="A627">
        <v>625</v>
      </c>
      <c r="B627" s="7" t="s">
        <v>562</v>
      </c>
      <c r="C627" s="13" t="s">
        <v>1487</v>
      </c>
      <c r="D627" s="14" t="s">
        <v>8</v>
      </c>
      <c r="E627" s="16">
        <v>2045</v>
      </c>
      <c r="F627" s="15">
        <v>2407</v>
      </c>
      <c r="G627" s="17" t="s">
        <v>6</v>
      </c>
      <c r="H627" s="18">
        <v>1</v>
      </c>
      <c r="I627" s="19"/>
      <c r="J627" s="19">
        <v>2310.7199999999998</v>
      </c>
      <c r="K627" s="19">
        <f t="shared" si="9"/>
        <v>265.7199999999998</v>
      </c>
      <c r="L627" s="18"/>
      <c r="M627" s="18"/>
      <c r="N627" s="18"/>
      <c r="O627" s="26" t="s">
        <v>1036</v>
      </c>
    </row>
    <row r="628" spans="1:15" ht="15" x14ac:dyDescent="0.25">
      <c r="A628">
        <v>626</v>
      </c>
      <c r="B628" s="8" t="s">
        <v>563</v>
      </c>
      <c r="C628" s="21" t="s">
        <v>1488</v>
      </c>
      <c r="D628" s="22" t="s">
        <v>8</v>
      </c>
      <c r="E628" s="23">
        <v>1232</v>
      </c>
      <c r="F628" s="15">
        <v>1453</v>
      </c>
      <c r="G628" s="24" t="s">
        <v>6</v>
      </c>
      <c r="H628" s="18">
        <v>1</v>
      </c>
      <c r="I628" s="19">
        <f>VLOOKUP(B628,[1]Лист2!$A:$J,10,0)</f>
        <v>1071.68</v>
      </c>
      <c r="J628" s="19">
        <v>1394.8799999999999</v>
      </c>
      <c r="K628" s="19">
        <f t="shared" si="9"/>
        <v>162.87999999999988</v>
      </c>
      <c r="L628" s="18"/>
      <c r="M628" s="18"/>
      <c r="N628" s="18"/>
      <c r="O628" s="26" t="s">
        <v>1036</v>
      </c>
    </row>
    <row r="629" spans="1:15" ht="15" x14ac:dyDescent="0.25">
      <c r="A629">
        <v>627</v>
      </c>
      <c r="B629" s="7" t="s">
        <v>564</v>
      </c>
      <c r="C629" s="13" t="s">
        <v>1489</v>
      </c>
      <c r="D629" s="14" t="s">
        <v>8</v>
      </c>
      <c r="E629" s="16">
        <v>15917</v>
      </c>
      <c r="F629" s="15">
        <v>17590</v>
      </c>
      <c r="G629" s="17" t="s">
        <v>6</v>
      </c>
      <c r="H629" s="18">
        <v>2</v>
      </c>
      <c r="I629" s="19"/>
      <c r="J629" s="19">
        <v>16886.399999999998</v>
      </c>
      <c r="K629" s="19">
        <f t="shared" si="9"/>
        <v>969.39999999999782</v>
      </c>
      <c r="L629" s="18"/>
      <c r="M629" s="18"/>
      <c r="N629" s="18"/>
      <c r="O629" s="26" t="s">
        <v>1036</v>
      </c>
    </row>
    <row r="630" spans="1:15" ht="15" x14ac:dyDescent="0.25">
      <c r="A630">
        <v>628</v>
      </c>
      <c r="B630" s="8" t="s">
        <v>565</v>
      </c>
      <c r="C630" s="21" t="s">
        <v>1490</v>
      </c>
      <c r="D630" s="22" t="s">
        <v>8</v>
      </c>
      <c r="E630" s="23">
        <v>15914</v>
      </c>
      <c r="F630" s="15">
        <v>17353</v>
      </c>
      <c r="G630" s="24" t="s">
        <v>6</v>
      </c>
      <c r="H630" s="18">
        <v>2</v>
      </c>
      <c r="I630" s="19">
        <f>VLOOKUP(B630,[1]Лист2!$A:$J,10,0)</f>
        <v>11390.539999999999</v>
      </c>
      <c r="J630" s="19">
        <v>16658.88</v>
      </c>
      <c r="K630" s="19">
        <f t="shared" si="9"/>
        <v>744.88000000000102</v>
      </c>
      <c r="L630" s="18"/>
      <c r="M630" s="18"/>
      <c r="N630" s="18"/>
      <c r="O630" s="26" t="s">
        <v>1036</v>
      </c>
    </row>
    <row r="631" spans="1:15" ht="15" x14ac:dyDescent="0.25">
      <c r="A631">
        <v>629</v>
      </c>
      <c r="B631" s="7" t="s">
        <v>565</v>
      </c>
      <c r="C631" s="13" t="s">
        <v>1490</v>
      </c>
      <c r="D631" s="14" t="s">
        <v>8</v>
      </c>
      <c r="E631" s="16">
        <v>15133</v>
      </c>
      <c r="F631" s="15">
        <v>17353</v>
      </c>
      <c r="G631" s="17" t="s">
        <v>6</v>
      </c>
      <c r="H631" s="18">
        <v>1</v>
      </c>
      <c r="I631" s="19">
        <f>VLOOKUP(B631,[1]Лист2!$A:$J,10,0)</f>
        <v>11390.539999999999</v>
      </c>
      <c r="J631" s="19">
        <v>16658.88</v>
      </c>
      <c r="K631" s="19">
        <f t="shared" si="9"/>
        <v>1525.880000000001</v>
      </c>
      <c r="L631" s="18"/>
      <c r="M631" s="18"/>
      <c r="N631" s="18"/>
      <c r="O631" s="26" t="s">
        <v>1036</v>
      </c>
    </row>
    <row r="632" spans="1:15" ht="15" x14ac:dyDescent="0.25">
      <c r="A632">
        <v>630</v>
      </c>
      <c r="B632" s="8" t="s">
        <v>566</v>
      </c>
      <c r="C632" s="21" t="s">
        <v>1491</v>
      </c>
      <c r="D632" s="22" t="s">
        <v>8</v>
      </c>
      <c r="E632" s="15">
        <v>21318</v>
      </c>
      <c r="F632" s="23">
        <v>5579</v>
      </c>
      <c r="G632" s="24" t="s">
        <v>6</v>
      </c>
      <c r="H632" s="18">
        <v>2</v>
      </c>
      <c r="I632" s="19">
        <f>VLOOKUP(B632,[1]Лист2!$A:$J,10,0)</f>
        <v>3266.2599999999998</v>
      </c>
      <c r="J632" s="19">
        <v>5355.84</v>
      </c>
      <c r="K632" s="19">
        <f t="shared" si="9"/>
        <v>-15962.16</v>
      </c>
      <c r="L632" s="18"/>
      <c r="M632" s="18"/>
      <c r="N632" s="18"/>
      <c r="O632" s="26" t="s">
        <v>1036</v>
      </c>
    </row>
    <row r="633" spans="1:15" ht="15" x14ac:dyDescent="0.25">
      <c r="A633">
        <v>631</v>
      </c>
      <c r="B633" s="7" t="s">
        <v>567</v>
      </c>
      <c r="C633" s="13" t="s">
        <v>1492</v>
      </c>
      <c r="D633" s="14" t="s">
        <v>8</v>
      </c>
      <c r="E633" s="15">
        <v>1535</v>
      </c>
      <c r="F633" s="16">
        <v>44.37</v>
      </c>
      <c r="G633" s="17" t="s">
        <v>71</v>
      </c>
      <c r="H633" s="18">
        <v>1</v>
      </c>
      <c r="I633" s="19">
        <f>VLOOKUP(B633,[1]Лист2!$A:$J,10,0)</f>
        <v>42.354999999999997</v>
      </c>
      <c r="J633" s="19">
        <v>721</v>
      </c>
      <c r="K633" s="19">
        <f t="shared" si="9"/>
        <v>-814</v>
      </c>
      <c r="L633" s="18"/>
      <c r="M633" s="18"/>
      <c r="N633" s="18"/>
      <c r="O633" s="26" t="s">
        <v>1036</v>
      </c>
    </row>
    <row r="634" spans="1:15" ht="15" x14ac:dyDescent="0.25">
      <c r="A634">
        <v>632</v>
      </c>
      <c r="B634" s="8" t="s">
        <v>568</v>
      </c>
      <c r="C634" s="21" t="s">
        <v>1493</v>
      </c>
      <c r="D634" s="22" t="s">
        <v>111</v>
      </c>
      <c r="E634" s="23">
        <v>25142</v>
      </c>
      <c r="F634" s="15">
        <v>26790</v>
      </c>
      <c r="G634" s="24" t="s">
        <v>78</v>
      </c>
      <c r="H634" s="18">
        <v>1</v>
      </c>
      <c r="I634" s="19"/>
      <c r="J634" s="19">
        <v>25718.399999999998</v>
      </c>
      <c r="K634" s="19">
        <f t="shared" si="9"/>
        <v>576.39999999999782</v>
      </c>
      <c r="L634" s="18"/>
      <c r="M634" s="18"/>
      <c r="N634" s="18"/>
      <c r="O634" s="26" t="s">
        <v>1036</v>
      </c>
    </row>
    <row r="635" spans="1:15" ht="15" x14ac:dyDescent="0.25">
      <c r="A635">
        <v>633</v>
      </c>
      <c r="B635" s="7" t="s">
        <v>569</v>
      </c>
      <c r="C635" s="13" t="s">
        <v>1265</v>
      </c>
      <c r="D635" s="14" t="s">
        <v>54</v>
      </c>
      <c r="E635" s="15">
        <v>23850</v>
      </c>
      <c r="F635" s="16">
        <v>3878</v>
      </c>
      <c r="G635" s="17" t="s">
        <v>6</v>
      </c>
      <c r="H635" s="18">
        <v>1</v>
      </c>
      <c r="I635" s="19">
        <f>VLOOKUP(B635,[1]Лист2!$A:$J,10,0)</f>
        <v>3273.1549999999997</v>
      </c>
      <c r="J635" s="19">
        <v>9589</v>
      </c>
      <c r="K635" s="19">
        <f t="shared" si="9"/>
        <v>-14261</v>
      </c>
      <c r="L635" s="18"/>
      <c r="M635" s="18"/>
      <c r="N635" s="18"/>
      <c r="O635" s="26" t="s">
        <v>1036</v>
      </c>
    </row>
    <row r="636" spans="1:15" ht="15" x14ac:dyDescent="0.25">
      <c r="A636">
        <v>634</v>
      </c>
      <c r="B636" s="8" t="s">
        <v>570</v>
      </c>
      <c r="C636" s="21" t="s">
        <v>1494</v>
      </c>
      <c r="D636" s="22" t="s">
        <v>111</v>
      </c>
      <c r="E636" s="15">
        <v>13618</v>
      </c>
      <c r="F636" s="23">
        <v>5538.93</v>
      </c>
      <c r="G636" s="24" t="s">
        <v>78</v>
      </c>
      <c r="H636" s="18">
        <v>1</v>
      </c>
      <c r="I636" s="19">
        <f>VLOOKUP(B636,[1]Лист2!$A:$J,10,0)</f>
        <v>7403.26</v>
      </c>
      <c r="J636" s="29">
        <v>7477.2926000000007</v>
      </c>
      <c r="K636" s="19">
        <f t="shared" si="9"/>
        <v>-6140.7073999999993</v>
      </c>
      <c r="L636" s="18"/>
      <c r="M636" s="18"/>
      <c r="N636" s="18"/>
      <c r="O636" s="26" t="s">
        <v>1036</v>
      </c>
    </row>
    <row r="637" spans="1:15" ht="15" x14ac:dyDescent="0.25">
      <c r="A637">
        <v>635</v>
      </c>
      <c r="B637" s="7" t="s">
        <v>571</v>
      </c>
      <c r="C637" s="13" t="s">
        <v>1495</v>
      </c>
      <c r="D637" s="14" t="s">
        <v>111</v>
      </c>
      <c r="E637" s="15">
        <v>16039</v>
      </c>
      <c r="F637" s="16">
        <v>4421</v>
      </c>
      <c r="G637" s="17" t="s">
        <v>6</v>
      </c>
      <c r="H637" s="18">
        <v>1</v>
      </c>
      <c r="I637" s="19">
        <f>VLOOKUP(B637,[1]Лист2!$A:$J,10,0)</f>
        <v>3775.5050000000001</v>
      </c>
      <c r="J637" s="19">
        <v>8500</v>
      </c>
      <c r="K637" s="19">
        <f t="shared" si="9"/>
        <v>-7539</v>
      </c>
      <c r="L637" s="18"/>
      <c r="M637" s="18"/>
      <c r="N637" s="18"/>
      <c r="O637" s="26" t="s">
        <v>1036</v>
      </c>
    </row>
    <row r="638" spans="1:15" ht="15" x14ac:dyDescent="0.25">
      <c r="A638">
        <v>636</v>
      </c>
      <c r="B638" s="8" t="s">
        <v>572</v>
      </c>
      <c r="C638" s="21" t="s">
        <v>1496</v>
      </c>
      <c r="D638" s="22" t="s">
        <v>311</v>
      </c>
      <c r="E638" s="15">
        <v>1604</v>
      </c>
      <c r="F638" s="23">
        <v>1324</v>
      </c>
      <c r="G638" s="24" t="s">
        <v>6</v>
      </c>
      <c r="H638" s="18">
        <v>1</v>
      </c>
      <c r="I638" s="19">
        <f>VLOOKUP(B638,[1]Лист2!$A:$J,10,0)</f>
        <v>1157.375</v>
      </c>
      <c r="J638" s="19">
        <v>1271.04</v>
      </c>
      <c r="K638" s="19">
        <f t="shared" si="9"/>
        <v>-332.96000000000004</v>
      </c>
      <c r="L638" s="18"/>
      <c r="M638" s="18"/>
      <c r="N638" s="18"/>
      <c r="O638" s="26" t="s">
        <v>1036</v>
      </c>
    </row>
    <row r="639" spans="1:15" ht="15" x14ac:dyDescent="0.25">
      <c r="A639">
        <v>637</v>
      </c>
      <c r="B639" s="7" t="s">
        <v>573</v>
      </c>
      <c r="C639" s="13" t="s">
        <v>1497</v>
      </c>
      <c r="D639" s="14" t="s">
        <v>111</v>
      </c>
      <c r="E639" s="15">
        <v>1867</v>
      </c>
      <c r="F639" s="16">
        <v>765.87</v>
      </c>
      <c r="G639" s="17" t="s">
        <v>11</v>
      </c>
      <c r="H639" s="18">
        <v>1</v>
      </c>
      <c r="I639" s="19">
        <f>VLOOKUP(B639,[1]Лист2!$A:$J,10,0)</f>
        <v>1471.59</v>
      </c>
      <c r="J639" s="29">
        <v>1486.3058999999998</v>
      </c>
      <c r="K639" s="19">
        <f t="shared" si="9"/>
        <v>-380.69410000000016</v>
      </c>
      <c r="L639" s="18"/>
      <c r="M639" s="18"/>
      <c r="N639" s="18"/>
      <c r="O639" s="26" t="s">
        <v>1036</v>
      </c>
    </row>
    <row r="640" spans="1:15" ht="15" x14ac:dyDescent="0.25">
      <c r="A640">
        <v>638</v>
      </c>
      <c r="B640" s="8" t="s">
        <v>574</v>
      </c>
      <c r="C640" s="21" t="s">
        <v>1498</v>
      </c>
      <c r="D640" s="22" t="s">
        <v>111</v>
      </c>
      <c r="E640" s="15">
        <v>3062</v>
      </c>
      <c r="F640" s="23">
        <v>1079</v>
      </c>
      <c r="G640" s="24" t="s">
        <v>6</v>
      </c>
      <c r="H640" s="18">
        <v>1</v>
      </c>
      <c r="I640" s="19">
        <f>VLOOKUP(B640,[1]Лист2!$A:$J,10,0)</f>
        <v>1058.875</v>
      </c>
      <c r="J640" s="29">
        <v>1069.4637500000001</v>
      </c>
      <c r="K640" s="19">
        <f t="shared" si="9"/>
        <v>-1992.5362499999999</v>
      </c>
      <c r="L640" s="18"/>
      <c r="M640" s="18"/>
      <c r="N640" s="18"/>
      <c r="O640" s="26" t="s">
        <v>1036</v>
      </c>
    </row>
    <row r="641" spans="1:15" ht="15" x14ac:dyDescent="0.25">
      <c r="A641">
        <v>639</v>
      </c>
      <c r="B641" s="7" t="s">
        <v>575</v>
      </c>
      <c r="C641" s="13" t="s">
        <v>1499</v>
      </c>
      <c r="D641" s="14" t="s">
        <v>111</v>
      </c>
      <c r="E641" s="15">
        <v>32475</v>
      </c>
      <c r="F641" s="16">
        <v>10721</v>
      </c>
      <c r="G641" s="17" t="s">
        <v>6</v>
      </c>
      <c r="H641" s="18">
        <v>1</v>
      </c>
      <c r="I641" s="19">
        <f>VLOOKUP(B641,[1]Лист2!$A:$J,10,0)</f>
        <v>7386.5150000000003</v>
      </c>
      <c r="J641" s="19">
        <v>15292</v>
      </c>
      <c r="K641" s="19">
        <f t="shared" si="9"/>
        <v>-17183</v>
      </c>
      <c r="L641" s="18"/>
      <c r="M641" s="18"/>
      <c r="N641" s="18"/>
      <c r="O641" s="26" t="s">
        <v>1036</v>
      </c>
    </row>
    <row r="642" spans="1:15" ht="15" x14ac:dyDescent="0.25">
      <c r="A642">
        <v>640</v>
      </c>
      <c r="B642" s="8" t="s">
        <v>576</v>
      </c>
      <c r="C642" s="21" t="s">
        <v>1500</v>
      </c>
      <c r="D642" s="22" t="s">
        <v>111</v>
      </c>
      <c r="E642" s="15">
        <v>25561</v>
      </c>
      <c r="F642" s="23">
        <v>9432.9699999999993</v>
      </c>
      <c r="G642" s="24" t="s">
        <v>78</v>
      </c>
      <c r="H642" s="18">
        <v>1</v>
      </c>
      <c r="I642" s="19">
        <f>VLOOKUP(B642,[1]Лист2!$A:$J,10,0)</f>
        <v>10777.869999999999</v>
      </c>
      <c r="J642" s="29">
        <v>10885.6487</v>
      </c>
      <c r="K642" s="19">
        <f t="shared" si="9"/>
        <v>-14675.3513</v>
      </c>
      <c r="L642" s="18"/>
      <c r="M642" s="18"/>
      <c r="N642" s="18"/>
      <c r="O642" s="26" t="s">
        <v>1036</v>
      </c>
    </row>
    <row r="643" spans="1:15" ht="15" x14ac:dyDescent="0.25">
      <c r="A643">
        <v>641</v>
      </c>
      <c r="B643" s="7" t="s">
        <v>577</v>
      </c>
      <c r="C643" s="13" t="s">
        <v>1501</v>
      </c>
      <c r="D643" s="14" t="s">
        <v>54</v>
      </c>
      <c r="E643" s="15">
        <v>1682</v>
      </c>
      <c r="F643" s="16">
        <v>1120</v>
      </c>
      <c r="G643" s="17" t="s">
        <v>6</v>
      </c>
      <c r="H643" s="18">
        <v>1</v>
      </c>
      <c r="I643" s="19">
        <f>VLOOKUP(B643,[1]Лист2!$A:$J,10,0)</f>
        <v>1227.31</v>
      </c>
      <c r="J643" s="29">
        <v>1239.5831000000001</v>
      </c>
      <c r="K643" s="19">
        <f t="shared" ref="K643:K706" si="10">J643-E643</f>
        <v>-442.41689999999994</v>
      </c>
      <c r="L643" s="18"/>
      <c r="M643" s="18"/>
      <c r="N643" s="18"/>
      <c r="O643" s="26" t="s">
        <v>1036</v>
      </c>
    </row>
    <row r="644" spans="1:15" ht="15" x14ac:dyDescent="0.25">
      <c r="A644">
        <v>642</v>
      </c>
      <c r="B644" s="8" t="s">
        <v>578</v>
      </c>
      <c r="C644" s="21" t="s">
        <v>1502</v>
      </c>
      <c r="D644" s="22" t="s">
        <v>54</v>
      </c>
      <c r="E644" s="15">
        <v>1682</v>
      </c>
      <c r="F644" s="23">
        <v>1120</v>
      </c>
      <c r="G644" s="24" t="s">
        <v>6</v>
      </c>
      <c r="H644" s="18">
        <v>1</v>
      </c>
      <c r="I644" s="19">
        <f>VLOOKUP(B644,[1]Лист2!$A:$J,10,0)</f>
        <v>994.85</v>
      </c>
      <c r="J644" s="19">
        <v>1075.2</v>
      </c>
      <c r="K644" s="19">
        <f t="shared" si="10"/>
        <v>-606.79999999999995</v>
      </c>
      <c r="L644" s="18"/>
      <c r="M644" s="18"/>
      <c r="N644" s="18"/>
      <c r="O644" s="26" t="s">
        <v>1036</v>
      </c>
    </row>
    <row r="645" spans="1:15" ht="15" x14ac:dyDescent="0.25">
      <c r="A645">
        <v>643</v>
      </c>
      <c r="B645" s="7" t="s">
        <v>579</v>
      </c>
      <c r="C645" s="13" t="s">
        <v>1503</v>
      </c>
      <c r="D645" s="14" t="s">
        <v>111</v>
      </c>
      <c r="E645" s="15">
        <v>3876</v>
      </c>
      <c r="F645" s="16">
        <v>748.27</v>
      </c>
      <c r="G645" s="17" t="s">
        <v>78</v>
      </c>
      <c r="H645" s="18">
        <v>1</v>
      </c>
      <c r="I645" s="19">
        <f>VLOOKUP(B645,[1]Лист2!$A:$J,10,0)</f>
        <v>393.01499999999999</v>
      </c>
      <c r="J645" s="19">
        <v>718.33920000000001</v>
      </c>
      <c r="K645" s="19">
        <f t="shared" si="10"/>
        <v>-3157.6608000000001</v>
      </c>
      <c r="L645" s="18"/>
      <c r="M645" s="18"/>
      <c r="N645" s="18"/>
      <c r="O645" s="26" t="s">
        <v>1036</v>
      </c>
    </row>
    <row r="646" spans="1:15" ht="15" x14ac:dyDescent="0.25">
      <c r="A646">
        <v>644</v>
      </c>
      <c r="B646" s="8" t="s">
        <v>580</v>
      </c>
      <c r="C646" s="21" t="s">
        <v>1504</v>
      </c>
      <c r="D646" s="22" t="s">
        <v>111</v>
      </c>
      <c r="E646" s="15">
        <v>2095</v>
      </c>
      <c r="F646" s="23">
        <v>1029.82</v>
      </c>
      <c r="G646" s="24" t="s">
        <v>78</v>
      </c>
      <c r="H646" s="18">
        <v>1</v>
      </c>
      <c r="I646" s="19">
        <f>VLOOKUP(B646,[1]Лист2!$A:$J,10,0)</f>
        <v>1100.2449999999999</v>
      </c>
      <c r="J646" s="29">
        <v>1111.2474499999998</v>
      </c>
      <c r="K646" s="19">
        <f t="shared" si="10"/>
        <v>-983.75255000000016</v>
      </c>
      <c r="L646" s="18"/>
      <c r="M646" s="18"/>
      <c r="N646" s="18"/>
      <c r="O646" s="26" t="s">
        <v>1036</v>
      </c>
    </row>
    <row r="647" spans="1:15" ht="15" x14ac:dyDescent="0.25">
      <c r="A647">
        <v>645</v>
      </c>
      <c r="B647" s="7" t="s">
        <v>581</v>
      </c>
      <c r="C647" s="13" t="s">
        <v>1505</v>
      </c>
      <c r="D647" s="14" t="s">
        <v>8</v>
      </c>
      <c r="E647" s="16">
        <v>9280</v>
      </c>
      <c r="F647" s="15">
        <v>11465</v>
      </c>
      <c r="G647" s="17" t="s">
        <v>136</v>
      </c>
      <c r="H647" s="18">
        <v>2</v>
      </c>
      <c r="I647" s="19"/>
      <c r="J647" s="19">
        <v>11006.4</v>
      </c>
      <c r="K647" s="19">
        <f t="shared" si="10"/>
        <v>1726.3999999999996</v>
      </c>
      <c r="L647" s="18"/>
      <c r="M647" s="18"/>
      <c r="N647" s="18"/>
      <c r="O647" s="26" t="s">
        <v>1036</v>
      </c>
    </row>
    <row r="648" spans="1:15" ht="15" x14ac:dyDescent="0.25">
      <c r="A648">
        <v>646</v>
      </c>
      <c r="B648" s="8" t="s">
        <v>581</v>
      </c>
      <c r="C648" s="21" t="s">
        <v>1505</v>
      </c>
      <c r="D648" s="22" t="s">
        <v>8</v>
      </c>
      <c r="E648" s="23">
        <v>11309</v>
      </c>
      <c r="F648" s="15">
        <v>11465</v>
      </c>
      <c r="G648" s="24" t="s">
        <v>136</v>
      </c>
      <c r="H648" s="18">
        <v>3</v>
      </c>
      <c r="I648" s="19"/>
      <c r="J648" s="19">
        <v>11422.09</v>
      </c>
      <c r="K648" s="19">
        <f t="shared" si="10"/>
        <v>113.09000000000015</v>
      </c>
      <c r="L648" s="18"/>
      <c r="M648" s="18"/>
      <c r="N648" s="18"/>
      <c r="O648" s="26" t="s">
        <v>1036</v>
      </c>
    </row>
    <row r="649" spans="1:15" ht="15" x14ac:dyDescent="0.25">
      <c r="A649">
        <v>647</v>
      </c>
      <c r="B649" s="7" t="s">
        <v>582</v>
      </c>
      <c r="C649" s="13" t="s">
        <v>1506</v>
      </c>
      <c r="D649" s="14" t="s">
        <v>8</v>
      </c>
      <c r="E649" s="15">
        <v>5756</v>
      </c>
      <c r="F649" s="16">
        <v>1627</v>
      </c>
      <c r="G649" s="17" t="s">
        <v>6</v>
      </c>
      <c r="H649" s="18">
        <v>1</v>
      </c>
      <c r="I649" s="19">
        <f>VLOOKUP(B649,[1]Лист2!$A:$J,10,0)</f>
        <v>1664.65</v>
      </c>
      <c r="J649" s="29">
        <v>1681.2965000000002</v>
      </c>
      <c r="K649" s="19">
        <f t="shared" si="10"/>
        <v>-4074.7034999999996</v>
      </c>
      <c r="L649" s="18"/>
      <c r="M649" s="18"/>
      <c r="N649" s="18"/>
      <c r="O649" s="26" t="s">
        <v>1036</v>
      </c>
    </row>
    <row r="650" spans="1:15" ht="15" x14ac:dyDescent="0.25">
      <c r="A650">
        <v>648</v>
      </c>
      <c r="B650" s="8" t="s">
        <v>583</v>
      </c>
      <c r="C650" s="21" t="s">
        <v>1507</v>
      </c>
      <c r="D650" s="22" t="s">
        <v>8</v>
      </c>
      <c r="E650" s="15">
        <v>6846</v>
      </c>
      <c r="F650" s="23">
        <v>6276</v>
      </c>
      <c r="G650" s="24" t="s">
        <v>6</v>
      </c>
      <c r="H650" s="18">
        <v>1</v>
      </c>
      <c r="I650" s="19">
        <f>VLOOKUP(B650,[1]Лист2!$A:$J,10,0)</f>
        <v>6443.87</v>
      </c>
      <c r="J650" s="29">
        <v>6508.3086999999996</v>
      </c>
      <c r="K650" s="19">
        <f t="shared" si="10"/>
        <v>-337.69130000000041</v>
      </c>
      <c r="L650" s="18"/>
      <c r="M650" s="18"/>
      <c r="N650" s="18"/>
      <c r="O650" s="26" t="s">
        <v>1036</v>
      </c>
    </row>
    <row r="651" spans="1:15" ht="15" x14ac:dyDescent="0.25">
      <c r="A651">
        <v>649</v>
      </c>
      <c r="B651" s="7" t="s">
        <v>584</v>
      </c>
      <c r="C651" s="13" t="s">
        <v>1508</v>
      </c>
      <c r="D651" s="14" t="s">
        <v>8</v>
      </c>
      <c r="E651" s="15">
        <v>77974</v>
      </c>
      <c r="F651" s="16">
        <v>4063.71</v>
      </c>
      <c r="G651" s="17" t="s">
        <v>78</v>
      </c>
      <c r="H651" s="18">
        <v>2</v>
      </c>
      <c r="I651" s="19">
        <f>VLOOKUP(B651,[1]Лист2!$A:$J,10,0)</f>
        <v>5225.4250000000002</v>
      </c>
      <c r="J651" s="29">
        <v>15270</v>
      </c>
      <c r="K651" s="19">
        <f t="shared" si="10"/>
        <v>-62704</v>
      </c>
      <c r="L651" s="18"/>
      <c r="M651" s="18"/>
      <c r="N651" s="18"/>
      <c r="O651" s="26" t="s">
        <v>1036</v>
      </c>
    </row>
    <row r="652" spans="1:15" ht="15" x14ac:dyDescent="0.25">
      <c r="A652">
        <v>650</v>
      </c>
      <c r="B652" s="8" t="s">
        <v>585</v>
      </c>
      <c r="C652" s="21" t="s">
        <v>1257</v>
      </c>
      <c r="D652" s="22" t="s">
        <v>119</v>
      </c>
      <c r="E652" s="15">
        <v>17827</v>
      </c>
      <c r="F652" s="23">
        <v>16370</v>
      </c>
      <c r="G652" s="24" t="s">
        <v>6</v>
      </c>
      <c r="H652" s="18">
        <v>1</v>
      </c>
      <c r="I652" s="19">
        <f>VLOOKUP(B652,[1]Лист2!$A:$J,10,0)</f>
        <v>7036.84</v>
      </c>
      <c r="J652" s="19">
        <v>15715.199999999999</v>
      </c>
      <c r="K652" s="19">
        <f t="shared" si="10"/>
        <v>-2111.8000000000011</v>
      </c>
      <c r="L652" s="18"/>
      <c r="M652" s="18"/>
      <c r="N652" s="18"/>
      <c r="O652" s="26" t="s">
        <v>1036</v>
      </c>
    </row>
    <row r="653" spans="1:15" ht="15" x14ac:dyDescent="0.25">
      <c r="A653">
        <v>651</v>
      </c>
      <c r="B653" s="7" t="s">
        <v>585</v>
      </c>
      <c r="C653" s="13" t="s">
        <v>1257</v>
      </c>
      <c r="D653" s="14" t="s">
        <v>119</v>
      </c>
      <c r="E653" s="15">
        <v>17827</v>
      </c>
      <c r="F653" s="16">
        <v>16370</v>
      </c>
      <c r="G653" s="17" t="s">
        <v>6</v>
      </c>
      <c r="H653" s="18">
        <v>1</v>
      </c>
      <c r="I653" s="19">
        <f>VLOOKUP(B653,[1]Лист2!$A:$J,10,0)</f>
        <v>7036.84</v>
      </c>
      <c r="J653" s="19">
        <v>15715.199999999999</v>
      </c>
      <c r="K653" s="19">
        <f t="shared" si="10"/>
        <v>-2111.8000000000011</v>
      </c>
      <c r="L653" s="18"/>
      <c r="M653" s="18"/>
      <c r="N653" s="18"/>
      <c r="O653" s="26" t="s">
        <v>1036</v>
      </c>
    </row>
    <row r="654" spans="1:15" ht="15" x14ac:dyDescent="0.25">
      <c r="A654">
        <v>652</v>
      </c>
      <c r="B654" s="8" t="s">
        <v>586</v>
      </c>
      <c r="C654" s="21" t="s">
        <v>1257</v>
      </c>
      <c r="D654" s="22" t="s">
        <v>119</v>
      </c>
      <c r="E654" s="15">
        <v>10549</v>
      </c>
      <c r="F654" s="23">
        <v>8044</v>
      </c>
      <c r="G654" s="24" t="s">
        <v>6</v>
      </c>
      <c r="H654" s="18">
        <v>1</v>
      </c>
      <c r="I654" s="19">
        <f>VLOOKUP(B654,[1]Лист2!$A:$J,10,0)</f>
        <v>6617.23</v>
      </c>
      <c r="J654" s="19">
        <v>7122</v>
      </c>
      <c r="K654" s="19">
        <f t="shared" si="10"/>
        <v>-3427</v>
      </c>
      <c r="L654" s="18"/>
      <c r="M654" s="18"/>
      <c r="N654" s="18"/>
      <c r="O654" s="26" t="s">
        <v>1036</v>
      </c>
    </row>
    <row r="655" spans="1:15" ht="15" x14ac:dyDescent="0.25">
      <c r="A655">
        <v>653</v>
      </c>
      <c r="B655" s="7" t="s">
        <v>586</v>
      </c>
      <c r="C655" s="13" t="s">
        <v>1257</v>
      </c>
      <c r="D655" s="14" t="s">
        <v>119</v>
      </c>
      <c r="E655" s="15">
        <v>10549</v>
      </c>
      <c r="F655" s="16">
        <v>8044</v>
      </c>
      <c r="G655" s="17" t="s">
        <v>6</v>
      </c>
      <c r="H655" s="18">
        <v>1</v>
      </c>
      <c r="I655" s="19">
        <f>VLOOKUP(B655,[1]Лист2!$A:$J,10,0)</f>
        <v>6617.23</v>
      </c>
      <c r="J655" s="19">
        <v>7122</v>
      </c>
      <c r="K655" s="19">
        <f t="shared" si="10"/>
        <v>-3427</v>
      </c>
      <c r="L655" s="18"/>
      <c r="M655" s="18"/>
      <c r="N655" s="18"/>
      <c r="O655" s="26" t="s">
        <v>1036</v>
      </c>
    </row>
    <row r="656" spans="1:15" ht="15" x14ac:dyDescent="0.25">
      <c r="A656">
        <v>654</v>
      </c>
      <c r="B656" s="8" t="s">
        <v>586</v>
      </c>
      <c r="C656" s="21" t="s">
        <v>1257</v>
      </c>
      <c r="D656" s="22" t="s">
        <v>119</v>
      </c>
      <c r="E656" s="15">
        <v>10549</v>
      </c>
      <c r="F656" s="23">
        <v>8044</v>
      </c>
      <c r="G656" s="24" t="s">
        <v>6</v>
      </c>
      <c r="H656" s="18">
        <v>1</v>
      </c>
      <c r="I656" s="19">
        <f>VLOOKUP(B656,[1]Лист2!$A:$J,10,0)</f>
        <v>6617.23</v>
      </c>
      <c r="J656" s="19">
        <v>7122</v>
      </c>
      <c r="K656" s="19">
        <f t="shared" si="10"/>
        <v>-3427</v>
      </c>
      <c r="L656" s="18"/>
      <c r="M656" s="18"/>
      <c r="N656" s="18"/>
      <c r="O656" s="26" t="s">
        <v>1036</v>
      </c>
    </row>
    <row r="657" spans="1:15" ht="15" x14ac:dyDescent="0.25">
      <c r="A657">
        <v>655</v>
      </c>
      <c r="B657" s="7" t="s">
        <v>587</v>
      </c>
      <c r="C657" s="13" t="s">
        <v>1045</v>
      </c>
      <c r="D657" s="14" t="s">
        <v>119</v>
      </c>
      <c r="E657" s="16">
        <v>8300</v>
      </c>
      <c r="F657" s="15">
        <v>10119</v>
      </c>
      <c r="G657" s="17" t="s">
        <v>6</v>
      </c>
      <c r="H657" s="18">
        <v>1</v>
      </c>
      <c r="I657" s="19">
        <f>VLOOKUP(B657,[1]Лист2!$A:$J,10,0)</f>
        <v>5513.0450000000001</v>
      </c>
      <c r="J657" s="19">
        <v>9714.24</v>
      </c>
      <c r="K657" s="19">
        <f t="shared" si="10"/>
        <v>1414.2399999999998</v>
      </c>
      <c r="L657" s="18"/>
      <c r="M657" s="18"/>
      <c r="N657" s="18"/>
      <c r="O657" s="26" t="s">
        <v>1036</v>
      </c>
    </row>
    <row r="658" spans="1:15" ht="15" x14ac:dyDescent="0.25">
      <c r="A658">
        <v>656</v>
      </c>
      <c r="B658" s="8" t="s">
        <v>588</v>
      </c>
      <c r="C658" s="21" t="s">
        <v>1045</v>
      </c>
      <c r="D658" s="22" t="s">
        <v>119</v>
      </c>
      <c r="E658" s="15">
        <v>15724</v>
      </c>
      <c r="F658" s="23">
        <v>12913</v>
      </c>
      <c r="G658" s="24" t="s">
        <v>6</v>
      </c>
      <c r="H658" s="18">
        <v>1</v>
      </c>
      <c r="I658" s="19">
        <f>VLOOKUP(B658,[1]Лист2!$A:$J,10,0)</f>
        <v>13236.43</v>
      </c>
      <c r="J658" s="29">
        <v>13368.7943</v>
      </c>
      <c r="K658" s="19">
        <f t="shared" si="10"/>
        <v>-2355.2057000000004</v>
      </c>
      <c r="L658" s="18"/>
      <c r="M658" s="18"/>
      <c r="N658" s="18"/>
      <c r="O658" s="26" t="s">
        <v>1036</v>
      </c>
    </row>
    <row r="659" spans="1:15" ht="15" x14ac:dyDescent="0.25">
      <c r="A659">
        <v>657</v>
      </c>
      <c r="B659" s="7" t="s">
        <v>588</v>
      </c>
      <c r="C659" s="13" t="s">
        <v>1045</v>
      </c>
      <c r="D659" s="14" t="s">
        <v>119</v>
      </c>
      <c r="E659" s="15">
        <v>15724</v>
      </c>
      <c r="F659" s="16">
        <v>12913</v>
      </c>
      <c r="G659" s="17" t="s">
        <v>6</v>
      </c>
      <c r="H659" s="18">
        <v>1</v>
      </c>
      <c r="I659" s="19">
        <f>VLOOKUP(B659,[1]Лист2!$A:$J,10,0)</f>
        <v>13236.43</v>
      </c>
      <c r="J659" s="29">
        <v>13368.7943</v>
      </c>
      <c r="K659" s="19">
        <f t="shared" si="10"/>
        <v>-2355.2057000000004</v>
      </c>
      <c r="L659" s="18"/>
      <c r="M659" s="18"/>
      <c r="N659" s="18"/>
      <c r="O659" s="26" t="s">
        <v>1036</v>
      </c>
    </row>
    <row r="660" spans="1:15" ht="15" x14ac:dyDescent="0.25">
      <c r="A660">
        <v>658</v>
      </c>
      <c r="B660" s="8" t="s">
        <v>589</v>
      </c>
      <c r="C660" s="21" t="s">
        <v>1509</v>
      </c>
      <c r="D660" s="22" t="s">
        <v>267</v>
      </c>
      <c r="E660" s="23">
        <v>1869</v>
      </c>
      <c r="F660" s="15">
        <v>1908</v>
      </c>
      <c r="G660" s="24" t="s">
        <v>6</v>
      </c>
      <c r="H660" s="18">
        <v>1</v>
      </c>
      <c r="I660" s="19"/>
      <c r="J660" s="19">
        <v>1887.69</v>
      </c>
      <c r="K660" s="19">
        <f t="shared" si="10"/>
        <v>18.690000000000055</v>
      </c>
      <c r="L660" s="18"/>
      <c r="M660" s="18"/>
      <c r="N660" s="18"/>
      <c r="O660" s="26" t="s">
        <v>1036</v>
      </c>
    </row>
    <row r="661" spans="1:15" ht="15" x14ac:dyDescent="0.25">
      <c r="A661">
        <v>659</v>
      </c>
      <c r="B661" s="7" t="s">
        <v>590</v>
      </c>
      <c r="C661" s="13" t="s">
        <v>1510</v>
      </c>
      <c r="D661" s="14" t="s">
        <v>267</v>
      </c>
      <c r="E661" s="15">
        <v>1869</v>
      </c>
      <c r="F661" s="16">
        <v>307.83</v>
      </c>
      <c r="G661" s="17" t="s">
        <v>9</v>
      </c>
      <c r="H661" s="18">
        <v>1</v>
      </c>
      <c r="I661" s="19"/>
      <c r="J661" s="19">
        <v>1887.69</v>
      </c>
      <c r="K661" s="19">
        <f t="shared" si="10"/>
        <v>18.690000000000055</v>
      </c>
      <c r="L661" s="18"/>
      <c r="M661" s="18"/>
      <c r="N661" s="18"/>
      <c r="O661" s="26" t="s">
        <v>1036</v>
      </c>
    </row>
    <row r="662" spans="1:15" ht="15" x14ac:dyDescent="0.25">
      <c r="A662">
        <v>660</v>
      </c>
      <c r="B662" s="8" t="s">
        <v>591</v>
      </c>
      <c r="C662" s="21" t="s">
        <v>1511</v>
      </c>
      <c r="D662" s="22" t="s">
        <v>5</v>
      </c>
      <c r="E662" s="15">
        <v>19202</v>
      </c>
      <c r="F662" s="23">
        <v>19065</v>
      </c>
      <c r="G662" s="24" t="s">
        <v>6</v>
      </c>
      <c r="H662" s="18">
        <v>1</v>
      </c>
      <c r="I662" s="19">
        <f>VLOOKUP(B662,[1]Лист2!$A:$J,10,0)</f>
        <v>17583.235000000001</v>
      </c>
      <c r="J662" s="19">
        <v>18302.399999999998</v>
      </c>
      <c r="K662" s="19">
        <f t="shared" si="10"/>
        <v>-899.60000000000218</v>
      </c>
      <c r="L662" s="18"/>
      <c r="M662" s="18"/>
      <c r="N662" s="18"/>
      <c r="O662" s="26" t="s">
        <v>1036</v>
      </c>
    </row>
    <row r="663" spans="1:15" ht="15" x14ac:dyDescent="0.25">
      <c r="A663">
        <v>661</v>
      </c>
      <c r="B663" s="7" t="s">
        <v>592</v>
      </c>
      <c r="C663" s="13" t="s">
        <v>1512</v>
      </c>
      <c r="D663" s="14" t="s">
        <v>593</v>
      </c>
      <c r="E663" s="15">
        <v>4643</v>
      </c>
      <c r="F663" s="16">
        <v>3766.31</v>
      </c>
      <c r="G663" s="17" t="s">
        <v>9</v>
      </c>
      <c r="H663" s="18">
        <v>1</v>
      </c>
      <c r="I663" s="19">
        <f>VLOOKUP(B663,[1]Лист2!$A:$J,10,0)</f>
        <v>3662.23</v>
      </c>
      <c r="J663" s="29">
        <v>3698.8523</v>
      </c>
      <c r="K663" s="19">
        <f t="shared" si="10"/>
        <v>-944.14769999999999</v>
      </c>
      <c r="L663" s="18"/>
      <c r="M663" s="18"/>
      <c r="N663" s="18"/>
      <c r="O663" s="26" t="s">
        <v>1036</v>
      </c>
    </row>
    <row r="664" spans="1:15" ht="15" x14ac:dyDescent="0.25">
      <c r="A664">
        <v>662</v>
      </c>
      <c r="B664" s="8" t="s">
        <v>594</v>
      </c>
      <c r="C664" s="21" t="s">
        <v>1513</v>
      </c>
      <c r="D664" s="22" t="s">
        <v>267</v>
      </c>
      <c r="E664" s="15">
        <v>1869</v>
      </c>
      <c r="F664" s="23">
        <v>1789</v>
      </c>
      <c r="G664" s="24" t="s">
        <v>6</v>
      </c>
      <c r="H664" s="18">
        <v>1</v>
      </c>
      <c r="I664" s="19"/>
      <c r="J664" s="19">
        <v>1887.69</v>
      </c>
      <c r="K664" s="19">
        <f t="shared" si="10"/>
        <v>18.690000000000055</v>
      </c>
      <c r="L664" s="18"/>
      <c r="M664" s="18"/>
      <c r="N664" s="18"/>
      <c r="O664" s="26" t="s">
        <v>1036</v>
      </c>
    </row>
    <row r="665" spans="1:15" ht="15" x14ac:dyDescent="0.25">
      <c r="A665">
        <v>663</v>
      </c>
      <c r="B665" s="7" t="s">
        <v>595</v>
      </c>
      <c r="C665" s="13" t="s">
        <v>1514</v>
      </c>
      <c r="D665" s="14" t="s">
        <v>267</v>
      </c>
      <c r="E665" s="15">
        <v>1869</v>
      </c>
      <c r="F665" s="16">
        <v>1669</v>
      </c>
      <c r="G665" s="17" t="s">
        <v>6</v>
      </c>
      <c r="H665" s="18">
        <v>1</v>
      </c>
      <c r="I665" s="19"/>
      <c r="J665" s="19">
        <v>1887.69</v>
      </c>
      <c r="K665" s="19">
        <f t="shared" si="10"/>
        <v>18.690000000000055</v>
      </c>
      <c r="L665" s="18"/>
      <c r="M665" s="18"/>
      <c r="N665" s="18"/>
      <c r="O665" s="26" t="s">
        <v>1036</v>
      </c>
    </row>
    <row r="666" spans="1:15" ht="15" x14ac:dyDescent="0.25">
      <c r="A666">
        <v>664</v>
      </c>
      <c r="B666" s="8" t="s">
        <v>596</v>
      </c>
      <c r="C666" s="21" t="s">
        <v>1515</v>
      </c>
      <c r="D666" s="22" t="s">
        <v>397</v>
      </c>
      <c r="E666" s="15">
        <v>1700</v>
      </c>
      <c r="F666" s="23">
        <v>1260</v>
      </c>
      <c r="G666" s="24" t="s">
        <v>6</v>
      </c>
      <c r="H666" s="18">
        <v>1</v>
      </c>
      <c r="I666" s="19">
        <f>VLOOKUP(B666,[1]Лист2!$A:$J,10,0)</f>
        <v>1177.075</v>
      </c>
      <c r="J666" s="19">
        <v>1209.5999999999999</v>
      </c>
      <c r="K666" s="19">
        <f t="shared" si="10"/>
        <v>-490.40000000000009</v>
      </c>
      <c r="L666" s="18"/>
      <c r="M666" s="18"/>
      <c r="N666" s="18"/>
      <c r="O666" s="26" t="s">
        <v>1036</v>
      </c>
    </row>
    <row r="667" spans="1:15" ht="15" x14ac:dyDescent="0.25">
      <c r="A667">
        <v>665</v>
      </c>
      <c r="B667" s="7" t="s">
        <v>597</v>
      </c>
      <c r="C667" s="13" t="s">
        <v>1516</v>
      </c>
      <c r="D667" s="14" t="s">
        <v>397</v>
      </c>
      <c r="E667" s="15">
        <v>1700</v>
      </c>
      <c r="F667" s="16">
        <v>1250</v>
      </c>
      <c r="G667" s="17" t="s">
        <v>6</v>
      </c>
      <c r="H667" s="18">
        <v>1</v>
      </c>
      <c r="I667" s="19">
        <f>VLOOKUP(B667,[1]Лист2!$A:$J,10,0)</f>
        <v>1260.8</v>
      </c>
      <c r="J667" s="29">
        <v>1273.4079999999999</v>
      </c>
      <c r="K667" s="19">
        <f t="shared" si="10"/>
        <v>-426.5920000000001</v>
      </c>
      <c r="L667" s="18"/>
      <c r="M667" s="18"/>
      <c r="N667" s="18"/>
      <c r="O667" s="26" t="s">
        <v>1036</v>
      </c>
    </row>
    <row r="668" spans="1:15" ht="15" x14ac:dyDescent="0.25">
      <c r="A668">
        <v>666</v>
      </c>
      <c r="B668" s="8" t="s">
        <v>598</v>
      </c>
      <c r="C668" s="21" t="s">
        <v>1265</v>
      </c>
      <c r="D668" s="22" t="s">
        <v>24</v>
      </c>
      <c r="E668" s="15">
        <v>16314</v>
      </c>
      <c r="F668" s="23">
        <v>4201</v>
      </c>
      <c r="G668" s="24" t="s">
        <v>6</v>
      </c>
      <c r="H668" s="18">
        <v>1</v>
      </c>
      <c r="I668" s="19">
        <f>VLOOKUP(B668,[1]Лист2!$A:$J,10,0)</f>
        <v>4142.91</v>
      </c>
      <c r="J668" s="29">
        <v>8500</v>
      </c>
      <c r="K668" s="19">
        <f t="shared" si="10"/>
        <v>-7814</v>
      </c>
      <c r="L668" s="18"/>
      <c r="M668" s="18"/>
      <c r="N668" s="18"/>
      <c r="O668" s="26" t="s">
        <v>1036</v>
      </c>
    </row>
    <row r="669" spans="1:15" ht="15" x14ac:dyDescent="0.25">
      <c r="A669">
        <v>667</v>
      </c>
      <c r="B669" s="7" t="s">
        <v>598</v>
      </c>
      <c r="C669" s="13" t="s">
        <v>1265</v>
      </c>
      <c r="D669" s="14" t="s">
        <v>24</v>
      </c>
      <c r="E669" s="15">
        <v>16305</v>
      </c>
      <c r="F669" s="16">
        <v>4201</v>
      </c>
      <c r="G669" s="17" t="s">
        <v>6</v>
      </c>
      <c r="H669" s="18">
        <v>5</v>
      </c>
      <c r="I669" s="19">
        <f>VLOOKUP(B669,[1]Лист2!$A:$J,10,0)</f>
        <v>4142.91</v>
      </c>
      <c r="J669" s="29">
        <v>8500</v>
      </c>
      <c r="K669" s="19">
        <f t="shared" si="10"/>
        <v>-7805</v>
      </c>
      <c r="L669" s="18"/>
      <c r="M669" s="18"/>
      <c r="N669" s="18"/>
      <c r="O669" s="26" t="s">
        <v>1036</v>
      </c>
    </row>
    <row r="670" spans="1:15" ht="15" x14ac:dyDescent="0.25">
      <c r="A670">
        <v>668</v>
      </c>
      <c r="B670" s="8" t="s">
        <v>599</v>
      </c>
      <c r="C670" s="21" t="s">
        <v>1517</v>
      </c>
      <c r="D670" s="22" t="s">
        <v>24</v>
      </c>
      <c r="E670" s="15">
        <v>1953</v>
      </c>
      <c r="F670" s="23">
        <v>174</v>
      </c>
      <c r="G670" s="24" t="s">
        <v>6</v>
      </c>
      <c r="H670" s="18">
        <v>1</v>
      </c>
      <c r="I670" s="19">
        <f>VLOOKUP(B670,[1]Лист2!$A:$J,10,0)</f>
        <v>135.93</v>
      </c>
      <c r="J670" s="19">
        <v>167.04</v>
      </c>
      <c r="K670" s="19">
        <f t="shared" si="10"/>
        <v>-1785.96</v>
      </c>
      <c r="L670" s="18"/>
      <c r="M670" s="18"/>
      <c r="N670" s="18"/>
      <c r="O670" s="26" t="s">
        <v>1036</v>
      </c>
    </row>
    <row r="671" spans="1:15" ht="15" x14ac:dyDescent="0.25">
      <c r="A671">
        <v>669</v>
      </c>
      <c r="B671" s="7" t="s">
        <v>599</v>
      </c>
      <c r="C671" s="13" t="s">
        <v>1517</v>
      </c>
      <c r="D671" s="14" t="s">
        <v>24</v>
      </c>
      <c r="E671" s="15">
        <v>2123</v>
      </c>
      <c r="F671" s="16">
        <v>174</v>
      </c>
      <c r="G671" s="17" t="s">
        <v>6</v>
      </c>
      <c r="H671" s="18">
        <v>1</v>
      </c>
      <c r="I671" s="19">
        <f>VLOOKUP(B671,[1]Лист2!$A:$J,10,0)</f>
        <v>135.93</v>
      </c>
      <c r="J671" s="19">
        <v>167.04</v>
      </c>
      <c r="K671" s="19">
        <f t="shared" si="10"/>
        <v>-1955.96</v>
      </c>
      <c r="L671" s="18"/>
      <c r="M671" s="18"/>
      <c r="N671" s="18"/>
      <c r="O671" s="26" t="s">
        <v>1036</v>
      </c>
    </row>
    <row r="672" spans="1:15" ht="15" x14ac:dyDescent="0.25">
      <c r="A672">
        <v>670</v>
      </c>
      <c r="B672" s="8" t="s">
        <v>600</v>
      </c>
      <c r="C672" s="21" t="s">
        <v>1518</v>
      </c>
      <c r="D672" s="22" t="s">
        <v>267</v>
      </c>
      <c r="E672" s="15">
        <v>22563</v>
      </c>
      <c r="F672" s="23">
        <v>20397</v>
      </c>
      <c r="G672" s="24" t="s">
        <v>6</v>
      </c>
      <c r="H672" s="18">
        <v>1</v>
      </c>
      <c r="I672" s="19"/>
      <c r="J672" s="19">
        <v>22788.63</v>
      </c>
      <c r="K672" s="19">
        <f t="shared" si="10"/>
        <v>225.63000000000102</v>
      </c>
      <c r="L672" s="18"/>
      <c r="M672" s="18"/>
      <c r="N672" s="18"/>
      <c r="O672" s="26" t="s">
        <v>1036</v>
      </c>
    </row>
    <row r="673" spans="1:15" ht="15" x14ac:dyDescent="0.25">
      <c r="A673">
        <v>671</v>
      </c>
      <c r="B673" s="7" t="s">
        <v>601</v>
      </c>
      <c r="C673" s="13" t="s">
        <v>1519</v>
      </c>
      <c r="D673" s="14" t="s">
        <v>275</v>
      </c>
      <c r="E673" s="15">
        <v>1153</v>
      </c>
      <c r="F673" s="16">
        <v>733</v>
      </c>
      <c r="G673" s="17" t="s">
        <v>6</v>
      </c>
      <c r="H673" s="18">
        <v>2</v>
      </c>
      <c r="I673" s="19">
        <f>VLOOKUP(B673,[1]Лист2!$A:$J,10,0)</f>
        <v>705.26</v>
      </c>
      <c r="J673" s="29">
        <v>712.31259999999997</v>
      </c>
      <c r="K673" s="19">
        <f t="shared" si="10"/>
        <v>-440.68740000000003</v>
      </c>
      <c r="L673" s="18"/>
      <c r="M673" s="18"/>
      <c r="N673" s="18"/>
      <c r="O673" s="26" t="s">
        <v>1036</v>
      </c>
    </row>
    <row r="674" spans="1:15" ht="15" x14ac:dyDescent="0.25">
      <c r="A674">
        <v>672</v>
      </c>
      <c r="B674" s="8" t="s">
        <v>602</v>
      </c>
      <c r="C674" s="21" t="s">
        <v>1520</v>
      </c>
      <c r="D674" s="22" t="s">
        <v>267</v>
      </c>
      <c r="E674" s="15">
        <v>46746</v>
      </c>
      <c r="F674" s="23">
        <v>29838.22</v>
      </c>
      <c r="G674" s="24" t="s">
        <v>9</v>
      </c>
      <c r="H674" s="18">
        <v>1</v>
      </c>
      <c r="I674" s="19"/>
      <c r="J674" s="19">
        <v>47213.46</v>
      </c>
      <c r="K674" s="19">
        <f t="shared" si="10"/>
        <v>467.45999999999913</v>
      </c>
      <c r="L674" s="18"/>
      <c r="M674" s="18"/>
      <c r="N674" s="18"/>
      <c r="O674" s="26" t="s">
        <v>1036</v>
      </c>
    </row>
    <row r="675" spans="1:15" ht="15" x14ac:dyDescent="0.25">
      <c r="A675">
        <v>673</v>
      </c>
      <c r="B675" s="7" t="s">
        <v>603</v>
      </c>
      <c r="C675" s="13" t="s">
        <v>1521</v>
      </c>
      <c r="D675" s="14" t="s">
        <v>18</v>
      </c>
      <c r="E675" s="16">
        <v>169447</v>
      </c>
      <c r="F675" s="15">
        <v>207735</v>
      </c>
      <c r="G675" s="17" t="s">
        <v>6</v>
      </c>
      <c r="H675" s="18">
        <v>1</v>
      </c>
      <c r="I675" s="19"/>
      <c r="J675" s="19">
        <v>189000</v>
      </c>
      <c r="K675" s="19">
        <f t="shared" si="10"/>
        <v>19553</v>
      </c>
      <c r="L675" s="18"/>
      <c r="M675" s="18"/>
      <c r="N675" s="18"/>
      <c r="O675" s="26" t="s">
        <v>1036</v>
      </c>
    </row>
    <row r="676" spans="1:15" ht="15" x14ac:dyDescent="0.25">
      <c r="A676">
        <v>674</v>
      </c>
      <c r="B676" s="8" t="s">
        <v>604</v>
      </c>
      <c r="C676" s="21" t="s">
        <v>1522</v>
      </c>
      <c r="D676" s="22" t="s">
        <v>18</v>
      </c>
      <c r="E676" s="23">
        <v>169447</v>
      </c>
      <c r="F676" s="15">
        <v>207735</v>
      </c>
      <c r="G676" s="24" t="s">
        <v>6</v>
      </c>
      <c r="H676" s="18">
        <v>1</v>
      </c>
      <c r="I676" s="19"/>
      <c r="J676" s="19">
        <v>189000</v>
      </c>
      <c r="K676" s="19">
        <f t="shared" si="10"/>
        <v>19553</v>
      </c>
      <c r="L676" s="18"/>
      <c r="M676" s="18"/>
      <c r="N676" s="18"/>
      <c r="O676" s="26" t="s">
        <v>1036</v>
      </c>
    </row>
    <row r="677" spans="1:15" ht="15" x14ac:dyDescent="0.25">
      <c r="A677">
        <v>675</v>
      </c>
      <c r="B677" s="7" t="s">
        <v>604</v>
      </c>
      <c r="C677" s="13" t="s">
        <v>1522</v>
      </c>
      <c r="D677" s="14" t="s">
        <v>18</v>
      </c>
      <c r="E677" s="16">
        <v>169447</v>
      </c>
      <c r="F677" s="15">
        <v>207735</v>
      </c>
      <c r="G677" s="17" t="s">
        <v>6</v>
      </c>
      <c r="H677" s="18">
        <v>1</v>
      </c>
      <c r="I677" s="19"/>
      <c r="J677" s="19">
        <v>189000</v>
      </c>
      <c r="K677" s="19">
        <f t="shared" si="10"/>
        <v>19553</v>
      </c>
      <c r="L677" s="18"/>
      <c r="M677" s="18"/>
      <c r="N677" s="18"/>
      <c r="O677" s="26" t="s">
        <v>1036</v>
      </c>
    </row>
    <row r="678" spans="1:15" ht="15" x14ac:dyDescent="0.25">
      <c r="A678">
        <v>676</v>
      </c>
      <c r="B678" s="8" t="s">
        <v>605</v>
      </c>
      <c r="C678" s="21" t="s">
        <v>1523</v>
      </c>
      <c r="D678" s="22" t="s">
        <v>18</v>
      </c>
      <c r="E678" s="23">
        <v>136139</v>
      </c>
      <c r="F678" s="15">
        <v>166903</v>
      </c>
      <c r="G678" s="24" t="s">
        <v>6</v>
      </c>
      <c r="H678" s="18">
        <v>1</v>
      </c>
      <c r="I678" s="19"/>
      <c r="J678" s="19">
        <v>153500</v>
      </c>
      <c r="K678" s="19">
        <f t="shared" si="10"/>
        <v>17361</v>
      </c>
      <c r="L678" s="18"/>
      <c r="M678" s="18"/>
      <c r="N678" s="18"/>
      <c r="O678" s="26" t="s">
        <v>1036</v>
      </c>
    </row>
    <row r="679" spans="1:15" ht="15" x14ac:dyDescent="0.25">
      <c r="A679">
        <v>677</v>
      </c>
      <c r="B679" s="7" t="s">
        <v>606</v>
      </c>
      <c r="C679" s="13" t="s">
        <v>1256</v>
      </c>
      <c r="D679" s="14" t="s">
        <v>18</v>
      </c>
      <c r="E679" s="15">
        <v>261442</v>
      </c>
      <c r="F679" s="16">
        <v>258562</v>
      </c>
      <c r="G679" s="17" t="s">
        <v>6</v>
      </c>
      <c r="H679" s="18">
        <v>1</v>
      </c>
      <c r="I679" s="19">
        <f>VLOOKUP(B679,[1]Лист2!$A:$J,10,0)</f>
        <v>175286.66</v>
      </c>
      <c r="J679" s="19">
        <v>248219.51999999999</v>
      </c>
      <c r="K679" s="19">
        <f t="shared" si="10"/>
        <v>-13222.48000000001</v>
      </c>
      <c r="L679" s="18"/>
      <c r="M679" s="18"/>
      <c r="N679" s="18"/>
      <c r="O679" s="26" t="s">
        <v>1036</v>
      </c>
    </row>
    <row r="680" spans="1:15" ht="15" x14ac:dyDescent="0.25">
      <c r="A680">
        <v>678</v>
      </c>
      <c r="B680" s="8" t="s">
        <v>607</v>
      </c>
      <c r="C680" s="21" t="s">
        <v>1524</v>
      </c>
      <c r="D680" s="22" t="s">
        <v>18</v>
      </c>
      <c r="E680" s="23">
        <v>27452</v>
      </c>
      <c r="F680" s="15">
        <v>33662</v>
      </c>
      <c r="G680" s="24" t="s">
        <v>6</v>
      </c>
      <c r="H680" s="18">
        <v>1</v>
      </c>
      <c r="I680" s="19"/>
      <c r="J680" s="19">
        <v>29950</v>
      </c>
      <c r="K680" s="19">
        <f t="shared" si="10"/>
        <v>2498</v>
      </c>
      <c r="L680" s="18"/>
      <c r="M680" s="18"/>
      <c r="N680" s="18"/>
      <c r="O680" s="26" t="s">
        <v>1036</v>
      </c>
    </row>
    <row r="681" spans="1:15" ht="15" x14ac:dyDescent="0.25">
      <c r="A681">
        <v>679</v>
      </c>
      <c r="B681" s="7" t="s">
        <v>608</v>
      </c>
      <c r="C681" s="13" t="s">
        <v>1525</v>
      </c>
      <c r="D681" s="14" t="s">
        <v>18</v>
      </c>
      <c r="E681" s="16">
        <v>350221</v>
      </c>
      <c r="F681" s="15">
        <v>374981</v>
      </c>
      <c r="G681" s="17" t="s">
        <v>6</v>
      </c>
      <c r="H681" s="18">
        <v>1</v>
      </c>
      <c r="I681" s="19">
        <f>VLOOKUP(B681,[1]Лист2!$A:$J,10,0)</f>
        <v>126310.49</v>
      </c>
      <c r="J681" s="19">
        <v>359981.76</v>
      </c>
      <c r="K681" s="19">
        <f t="shared" si="10"/>
        <v>9760.7600000000093</v>
      </c>
      <c r="L681" s="18"/>
      <c r="M681" s="18"/>
      <c r="N681" s="18"/>
      <c r="O681" s="26" t="s">
        <v>1036</v>
      </c>
    </row>
    <row r="682" spans="1:15" ht="15" x14ac:dyDescent="0.25">
      <c r="A682">
        <v>680</v>
      </c>
      <c r="B682" s="8" t="s">
        <v>609</v>
      </c>
      <c r="C682" s="21" t="s">
        <v>1526</v>
      </c>
      <c r="D682" s="22" t="s">
        <v>18</v>
      </c>
      <c r="E682" s="23">
        <v>225105</v>
      </c>
      <c r="F682" s="15">
        <v>245809</v>
      </c>
      <c r="G682" s="24" t="s">
        <v>136</v>
      </c>
      <c r="H682" s="18">
        <v>1</v>
      </c>
      <c r="I682" s="19">
        <f>VLOOKUP(B682,[1]Лист2!$A:$J,10,0)</f>
        <v>60147.055</v>
      </c>
      <c r="J682" s="19">
        <v>235976.63999999998</v>
      </c>
      <c r="K682" s="19">
        <f t="shared" si="10"/>
        <v>10871.639999999985</v>
      </c>
      <c r="L682" s="18"/>
      <c r="M682" s="18"/>
      <c r="N682" s="18"/>
      <c r="O682" s="26" t="s">
        <v>1036</v>
      </c>
    </row>
    <row r="683" spans="1:15" ht="15" x14ac:dyDescent="0.25">
      <c r="A683">
        <v>681</v>
      </c>
      <c r="B683" s="7" t="s">
        <v>610</v>
      </c>
      <c r="C683" s="13" t="s">
        <v>1527</v>
      </c>
      <c r="D683" s="14" t="s">
        <v>18</v>
      </c>
      <c r="E683" s="16">
        <v>2010</v>
      </c>
      <c r="F683" s="15">
        <v>2473</v>
      </c>
      <c r="G683" s="17" t="s">
        <v>6</v>
      </c>
      <c r="H683" s="18">
        <v>1</v>
      </c>
      <c r="I683" s="19"/>
      <c r="J683" s="19">
        <v>2374.08</v>
      </c>
      <c r="K683" s="19">
        <f t="shared" si="10"/>
        <v>364.07999999999993</v>
      </c>
      <c r="L683" s="18"/>
      <c r="M683" s="18"/>
      <c r="N683" s="18"/>
      <c r="O683" s="26" t="s">
        <v>1036</v>
      </c>
    </row>
    <row r="684" spans="1:15" ht="15" x14ac:dyDescent="0.25">
      <c r="A684">
        <v>682</v>
      </c>
      <c r="B684" s="8" t="s">
        <v>611</v>
      </c>
      <c r="C684" s="21" t="s">
        <v>1528</v>
      </c>
      <c r="D684" s="22" t="s">
        <v>18</v>
      </c>
      <c r="E684" s="23">
        <v>8726</v>
      </c>
      <c r="F684" s="15">
        <v>10706</v>
      </c>
      <c r="G684" s="24" t="s">
        <v>6</v>
      </c>
      <c r="H684" s="18">
        <v>1</v>
      </c>
      <c r="I684" s="19"/>
      <c r="J684" s="19">
        <v>10277.76</v>
      </c>
      <c r="K684" s="19">
        <f t="shared" si="10"/>
        <v>1551.7600000000002</v>
      </c>
      <c r="L684" s="18"/>
      <c r="M684" s="18"/>
      <c r="N684" s="18"/>
      <c r="O684" s="26" t="s">
        <v>1036</v>
      </c>
    </row>
    <row r="685" spans="1:15" ht="15" x14ac:dyDescent="0.25">
      <c r="A685">
        <v>683</v>
      </c>
      <c r="B685" s="7" t="s">
        <v>612</v>
      </c>
      <c r="C685" s="13" t="s">
        <v>1529</v>
      </c>
      <c r="D685" s="14" t="s">
        <v>119</v>
      </c>
      <c r="E685" s="15">
        <v>15911</v>
      </c>
      <c r="F685" s="16">
        <v>5023</v>
      </c>
      <c r="G685" s="17" t="s">
        <v>6</v>
      </c>
      <c r="H685" s="18">
        <v>1</v>
      </c>
      <c r="I685" s="19"/>
      <c r="J685" s="19">
        <v>16070.11</v>
      </c>
      <c r="K685" s="19">
        <f t="shared" si="10"/>
        <v>159.11000000000058</v>
      </c>
      <c r="L685" s="18"/>
      <c r="M685" s="18"/>
      <c r="N685" s="18"/>
      <c r="O685" s="26" t="s">
        <v>1036</v>
      </c>
    </row>
    <row r="686" spans="1:15" ht="15" x14ac:dyDescent="0.25">
      <c r="A686">
        <v>684</v>
      </c>
      <c r="B686" s="8" t="s">
        <v>613</v>
      </c>
      <c r="C686" s="21" t="s">
        <v>1530</v>
      </c>
      <c r="D686" s="22" t="s">
        <v>119</v>
      </c>
      <c r="E686" s="15">
        <v>11091</v>
      </c>
      <c r="F686" s="23">
        <v>9075</v>
      </c>
      <c r="G686" s="24" t="s">
        <v>6</v>
      </c>
      <c r="H686" s="18">
        <v>1</v>
      </c>
      <c r="I686" s="19">
        <f>VLOOKUP(B686,[1]Лист2!$A:$J,10,0)</f>
        <v>12200.21</v>
      </c>
      <c r="J686" s="29">
        <v>12322.212099999999</v>
      </c>
      <c r="K686" s="19">
        <f t="shared" si="10"/>
        <v>1231.2120999999988</v>
      </c>
      <c r="L686" s="18"/>
      <c r="M686" s="18"/>
      <c r="N686" s="18"/>
      <c r="O686" s="26" t="s">
        <v>1036</v>
      </c>
    </row>
    <row r="687" spans="1:15" ht="15" x14ac:dyDescent="0.25">
      <c r="A687">
        <v>685</v>
      </c>
      <c r="B687" s="7" t="s">
        <v>613</v>
      </c>
      <c r="C687" s="13" t="s">
        <v>1530</v>
      </c>
      <c r="D687" s="14" t="s">
        <v>119</v>
      </c>
      <c r="E687" s="15">
        <v>16521</v>
      </c>
      <c r="F687" s="16">
        <v>9075</v>
      </c>
      <c r="G687" s="17" t="s">
        <v>6</v>
      </c>
      <c r="H687" s="18">
        <v>1</v>
      </c>
      <c r="I687" s="19">
        <f>VLOOKUP(B687,[1]Лист2!$A:$J,10,0)</f>
        <v>12200.21</v>
      </c>
      <c r="J687" s="29">
        <v>12322.212099999999</v>
      </c>
      <c r="K687" s="19">
        <f t="shared" si="10"/>
        <v>-4198.7879000000012</v>
      </c>
      <c r="L687" s="18"/>
      <c r="M687" s="18"/>
      <c r="N687" s="18"/>
      <c r="O687" s="26" t="s">
        <v>1036</v>
      </c>
    </row>
    <row r="688" spans="1:15" ht="15" x14ac:dyDescent="0.25">
      <c r="A688">
        <v>686</v>
      </c>
      <c r="B688" s="8" t="s">
        <v>614</v>
      </c>
      <c r="C688" s="21" t="s">
        <v>1531</v>
      </c>
      <c r="D688" s="22" t="s">
        <v>119</v>
      </c>
      <c r="E688" s="15">
        <v>30286</v>
      </c>
      <c r="F688" s="23">
        <v>22703</v>
      </c>
      <c r="G688" s="24" t="s">
        <v>6</v>
      </c>
      <c r="H688" s="18">
        <v>1</v>
      </c>
      <c r="I688" s="19">
        <f>VLOOKUP(B688,[1]Лист2!$A:$J,10,0)</f>
        <v>9995.7800000000007</v>
      </c>
      <c r="J688" s="19">
        <v>21794.879999999997</v>
      </c>
      <c r="K688" s="19">
        <f t="shared" si="10"/>
        <v>-8491.1200000000026</v>
      </c>
      <c r="L688" s="18"/>
      <c r="M688" s="18"/>
      <c r="N688" s="18"/>
      <c r="O688" s="26" t="s">
        <v>1036</v>
      </c>
    </row>
    <row r="689" spans="1:15" ht="15" x14ac:dyDescent="0.25">
      <c r="A689">
        <v>687</v>
      </c>
      <c r="B689" s="7" t="s">
        <v>615</v>
      </c>
      <c r="C689" s="13" t="s">
        <v>1532</v>
      </c>
      <c r="D689" s="14" t="s">
        <v>16</v>
      </c>
      <c r="E689" s="15">
        <v>37386</v>
      </c>
      <c r="F689" s="16">
        <v>26444</v>
      </c>
      <c r="G689" s="17" t="s">
        <v>6</v>
      </c>
      <c r="H689" s="18">
        <v>1</v>
      </c>
      <c r="I689" s="19">
        <f>VLOOKUP(B689,[1]Лист2!$A:$J,10,0)</f>
        <v>26302.454999999998</v>
      </c>
      <c r="J689" s="29">
        <v>26565.47955</v>
      </c>
      <c r="K689" s="19">
        <f t="shared" si="10"/>
        <v>-10820.52045</v>
      </c>
      <c r="L689" s="18"/>
      <c r="M689" s="18"/>
      <c r="N689" s="18"/>
      <c r="O689" s="26" t="s">
        <v>1036</v>
      </c>
    </row>
    <row r="690" spans="1:15" ht="15" x14ac:dyDescent="0.25">
      <c r="A690">
        <v>688</v>
      </c>
      <c r="B690" s="8" t="s">
        <v>616</v>
      </c>
      <c r="C690" s="21" t="s">
        <v>1532</v>
      </c>
      <c r="D690" s="22" t="s">
        <v>16</v>
      </c>
      <c r="E690" s="23">
        <v>26649</v>
      </c>
      <c r="F690" s="15">
        <v>27890</v>
      </c>
      <c r="G690" s="24" t="s">
        <v>6</v>
      </c>
      <c r="H690" s="18">
        <v>1</v>
      </c>
      <c r="I690" s="19">
        <f>VLOOKUP(B690,[1]Лист2!$A:$J,10,0)</f>
        <v>10959.11</v>
      </c>
      <c r="J690" s="19">
        <v>26774.399999999998</v>
      </c>
      <c r="K690" s="19">
        <f t="shared" si="10"/>
        <v>125.39999999999782</v>
      </c>
      <c r="L690" s="18"/>
      <c r="M690" s="18"/>
      <c r="N690" s="18"/>
      <c r="O690" s="26" t="s">
        <v>1036</v>
      </c>
    </row>
    <row r="691" spans="1:15" ht="15" x14ac:dyDescent="0.25">
      <c r="A691">
        <v>689</v>
      </c>
      <c r="B691" s="7" t="s">
        <v>617</v>
      </c>
      <c r="C691" s="13" t="s">
        <v>1533</v>
      </c>
      <c r="D691" s="14" t="s">
        <v>18</v>
      </c>
      <c r="E691" s="16">
        <v>1506</v>
      </c>
      <c r="F691" s="15">
        <v>1854</v>
      </c>
      <c r="G691" s="17" t="s">
        <v>6</v>
      </c>
      <c r="H691" s="18">
        <v>1</v>
      </c>
      <c r="I691" s="19">
        <f>VLOOKUP(B691,[1]Лист2!$A:$J,10,0)</f>
        <v>767.31499999999994</v>
      </c>
      <c r="J691" s="19">
        <v>1779.84</v>
      </c>
      <c r="K691" s="19">
        <f t="shared" si="10"/>
        <v>273.83999999999992</v>
      </c>
      <c r="L691" s="18"/>
      <c r="M691" s="18"/>
      <c r="N691" s="18"/>
      <c r="O691" s="26" t="s">
        <v>1036</v>
      </c>
    </row>
    <row r="692" spans="1:15" ht="15" x14ac:dyDescent="0.25">
      <c r="A692">
        <v>690</v>
      </c>
      <c r="B692" s="8" t="s">
        <v>618</v>
      </c>
      <c r="C692" s="21" t="s">
        <v>1534</v>
      </c>
      <c r="D692" s="22" t="s">
        <v>5</v>
      </c>
      <c r="E692" s="15">
        <v>20281</v>
      </c>
      <c r="F692" s="23">
        <v>10207</v>
      </c>
      <c r="G692" s="24" t="s">
        <v>6</v>
      </c>
      <c r="H692" s="18">
        <v>1</v>
      </c>
      <c r="I692" s="19">
        <f>VLOOKUP(B692,[1]Лист2!$A:$J,10,0)</f>
        <v>12954.72</v>
      </c>
      <c r="J692" s="29">
        <v>13084.2672</v>
      </c>
      <c r="K692" s="19">
        <f t="shared" si="10"/>
        <v>-7196.7327999999998</v>
      </c>
      <c r="L692" s="18"/>
      <c r="M692" s="18"/>
      <c r="N692" s="18"/>
      <c r="O692" s="26" t="s">
        <v>1036</v>
      </c>
    </row>
    <row r="693" spans="1:15" ht="15" x14ac:dyDescent="0.25">
      <c r="A693">
        <v>691</v>
      </c>
      <c r="B693" s="7" t="s">
        <v>619</v>
      </c>
      <c r="C693" s="13" t="s">
        <v>1535</v>
      </c>
      <c r="D693" s="14" t="s">
        <v>5</v>
      </c>
      <c r="E693" s="16">
        <v>5449</v>
      </c>
      <c r="F693" s="15">
        <v>7606.41</v>
      </c>
      <c r="G693" s="17" t="s">
        <v>11</v>
      </c>
      <c r="H693" s="18">
        <v>1</v>
      </c>
      <c r="I693" s="19">
        <f>VLOOKUP(B693,[1]Лист2!$A:$J,10,0)</f>
        <v>2852.56</v>
      </c>
      <c r="J693" s="19">
        <v>7302.1535999999996</v>
      </c>
      <c r="K693" s="19">
        <f t="shared" si="10"/>
        <v>1853.1535999999996</v>
      </c>
      <c r="L693" s="18"/>
      <c r="M693" s="18"/>
      <c r="N693" s="18"/>
      <c r="O693" s="26" t="s">
        <v>1036</v>
      </c>
    </row>
    <row r="694" spans="1:15" ht="15" x14ac:dyDescent="0.25">
      <c r="A694">
        <v>692</v>
      </c>
      <c r="B694" s="8" t="s">
        <v>620</v>
      </c>
      <c r="C694" s="21" t="s">
        <v>1536</v>
      </c>
      <c r="D694" s="22" t="s">
        <v>5</v>
      </c>
      <c r="E694" s="15">
        <v>6886</v>
      </c>
      <c r="F694" s="23">
        <v>3094</v>
      </c>
      <c r="G694" s="24" t="s">
        <v>6</v>
      </c>
      <c r="H694" s="18">
        <v>1</v>
      </c>
      <c r="I694" s="19">
        <f>VLOOKUP(B694,[1]Лист2!$A:$J,10,0)</f>
        <v>3534.18</v>
      </c>
      <c r="J694" s="29">
        <v>3569.5218</v>
      </c>
      <c r="K694" s="19">
        <f t="shared" si="10"/>
        <v>-3316.4782</v>
      </c>
      <c r="L694" s="18"/>
      <c r="M694" s="18"/>
      <c r="N694" s="18"/>
      <c r="O694" s="26" t="s">
        <v>1036</v>
      </c>
    </row>
    <row r="695" spans="1:15" ht="15" x14ac:dyDescent="0.25">
      <c r="A695">
        <v>693</v>
      </c>
      <c r="B695" s="7" t="s">
        <v>621</v>
      </c>
      <c r="C695" s="13" t="s">
        <v>1537</v>
      </c>
      <c r="D695" s="14" t="s">
        <v>16</v>
      </c>
      <c r="E695" s="15">
        <v>34102</v>
      </c>
      <c r="F695" s="16">
        <v>29400</v>
      </c>
      <c r="G695" s="17" t="s">
        <v>6</v>
      </c>
      <c r="H695" s="18">
        <v>1</v>
      </c>
      <c r="I695" s="19"/>
      <c r="J695" s="19">
        <v>34443.019999999997</v>
      </c>
      <c r="K695" s="19">
        <f t="shared" si="10"/>
        <v>341.0199999999968</v>
      </c>
      <c r="L695" s="18"/>
      <c r="M695" s="18"/>
      <c r="N695" s="18"/>
      <c r="O695" s="26" t="s">
        <v>1036</v>
      </c>
    </row>
    <row r="696" spans="1:15" ht="15" x14ac:dyDescent="0.25">
      <c r="A696">
        <v>694</v>
      </c>
      <c r="B696" s="8" t="s">
        <v>622</v>
      </c>
      <c r="C696" s="21" t="s">
        <v>1538</v>
      </c>
      <c r="D696" s="22" t="s">
        <v>16</v>
      </c>
      <c r="E696" s="23">
        <v>19938</v>
      </c>
      <c r="F696" s="15">
        <v>24451</v>
      </c>
      <c r="G696" s="24" t="s">
        <v>6</v>
      </c>
      <c r="H696" s="18">
        <v>1</v>
      </c>
      <c r="I696" s="19"/>
      <c r="J696" s="19">
        <v>21890</v>
      </c>
      <c r="K696" s="19">
        <f t="shared" si="10"/>
        <v>1952</v>
      </c>
      <c r="L696" s="18"/>
      <c r="M696" s="18"/>
      <c r="N696" s="18"/>
      <c r="O696" s="26" t="s">
        <v>1036</v>
      </c>
    </row>
    <row r="697" spans="1:15" ht="15" x14ac:dyDescent="0.25">
      <c r="A697">
        <v>695</v>
      </c>
      <c r="B697" s="7" t="s">
        <v>623</v>
      </c>
      <c r="C697" s="13" t="s">
        <v>1539</v>
      </c>
      <c r="D697" s="14" t="s">
        <v>5</v>
      </c>
      <c r="E697" s="15">
        <v>3437</v>
      </c>
      <c r="F697" s="16">
        <v>972</v>
      </c>
      <c r="G697" s="17" t="s">
        <v>6</v>
      </c>
      <c r="H697" s="18">
        <v>1</v>
      </c>
      <c r="I697" s="19">
        <f>VLOOKUP(B697,[1]Лист2!$A:$J,10,0)</f>
        <v>977.12</v>
      </c>
      <c r="J697" s="29">
        <v>986.89120000000003</v>
      </c>
      <c r="K697" s="19">
        <f t="shared" si="10"/>
        <v>-2450.1088</v>
      </c>
      <c r="L697" s="18"/>
      <c r="M697" s="18"/>
      <c r="N697" s="18"/>
      <c r="O697" s="26" t="s">
        <v>1036</v>
      </c>
    </row>
    <row r="698" spans="1:15" ht="15" x14ac:dyDescent="0.25">
      <c r="A698">
        <v>696</v>
      </c>
      <c r="B698" s="8" t="s">
        <v>623</v>
      </c>
      <c r="C698" s="21" t="s">
        <v>1539</v>
      </c>
      <c r="D698" s="22" t="s">
        <v>5</v>
      </c>
      <c r="E698" s="15">
        <v>3437</v>
      </c>
      <c r="F698" s="23">
        <v>972</v>
      </c>
      <c r="G698" s="24" t="s">
        <v>6</v>
      </c>
      <c r="H698" s="18">
        <v>1</v>
      </c>
      <c r="I698" s="19">
        <f>VLOOKUP(B698,[1]Лист2!$A:$J,10,0)</f>
        <v>977.12</v>
      </c>
      <c r="J698" s="29">
        <v>986.89120000000003</v>
      </c>
      <c r="K698" s="19">
        <f t="shared" si="10"/>
        <v>-2450.1088</v>
      </c>
      <c r="L698" s="18"/>
      <c r="M698" s="18"/>
      <c r="N698" s="18"/>
      <c r="O698" s="26" t="s">
        <v>1036</v>
      </c>
    </row>
    <row r="699" spans="1:15" ht="15" x14ac:dyDescent="0.25">
      <c r="A699">
        <v>697</v>
      </c>
      <c r="B699" s="7" t="s">
        <v>624</v>
      </c>
      <c r="C699" s="13" t="s">
        <v>1540</v>
      </c>
      <c r="D699" s="14" t="s">
        <v>5</v>
      </c>
      <c r="E699" s="15">
        <v>3437</v>
      </c>
      <c r="F699" s="16">
        <v>975</v>
      </c>
      <c r="G699" s="17" t="s">
        <v>6</v>
      </c>
      <c r="H699" s="18">
        <v>1</v>
      </c>
      <c r="I699" s="19">
        <f>VLOOKUP(B699,[1]Лист2!$A:$J,10,0)</f>
        <v>986.97</v>
      </c>
      <c r="J699" s="29">
        <v>996.83969999999999</v>
      </c>
      <c r="K699" s="19">
        <f t="shared" si="10"/>
        <v>-2440.1603</v>
      </c>
      <c r="L699" s="18"/>
      <c r="M699" s="18"/>
      <c r="N699" s="18"/>
      <c r="O699" s="26" t="s">
        <v>1036</v>
      </c>
    </row>
    <row r="700" spans="1:15" ht="15" x14ac:dyDescent="0.25">
      <c r="A700">
        <v>698</v>
      </c>
      <c r="B700" s="8" t="s">
        <v>624</v>
      </c>
      <c r="C700" s="21" t="s">
        <v>1540</v>
      </c>
      <c r="D700" s="22" t="s">
        <v>5</v>
      </c>
      <c r="E700" s="15">
        <v>3437</v>
      </c>
      <c r="F700" s="23">
        <v>975</v>
      </c>
      <c r="G700" s="24" t="s">
        <v>6</v>
      </c>
      <c r="H700" s="18">
        <v>1</v>
      </c>
      <c r="I700" s="19">
        <f>VLOOKUP(B700,[1]Лист2!$A:$J,10,0)</f>
        <v>986.97</v>
      </c>
      <c r="J700" s="29">
        <v>996.83969999999999</v>
      </c>
      <c r="K700" s="19">
        <f t="shared" si="10"/>
        <v>-2440.1603</v>
      </c>
      <c r="L700" s="18"/>
      <c r="M700" s="18"/>
      <c r="N700" s="18"/>
      <c r="O700" s="26" t="s">
        <v>1036</v>
      </c>
    </row>
    <row r="701" spans="1:15" ht="15" x14ac:dyDescent="0.25">
      <c r="A701">
        <v>699</v>
      </c>
      <c r="B701" s="7" t="s">
        <v>625</v>
      </c>
      <c r="C701" s="13" t="s">
        <v>1541</v>
      </c>
      <c r="D701" s="14" t="s">
        <v>16</v>
      </c>
      <c r="E701" s="16">
        <v>6940</v>
      </c>
      <c r="F701" s="15">
        <v>8516</v>
      </c>
      <c r="G701" s="17" t="s">
        <v>6</v>
      </c>
      <c r="H701" s="18">
        <v>1</v>
      </c>
      <c r="I701" s="19"/>
      <c r="J701" s="19">
        <v>8175.36</v>
      </c>
      <c r="K701" s="19">
        <f t="shared" si="10"/>
        <v>1235.3599999999997</v>
      </c>
      <c r="L701" s="18"/>
      <c r="M701" s="18"/>
      <c r="N701" s="18"/>
      <c r="O701" s="26" t="s">
        <v>1036</v>
      </c>
    </row>
    <row r="702" spans="1:15" ht="15" x14ac:dyDescent="0.25">
      <c r="A702">
        <v>700</v>
      </c>
      <c r="B702" s="8" t="s">
        <v>626</v>
      </c>
      <c r="C702" s="21" t="s">
        <v>1542</v>
      </c>
      <c r="D702" s="22" t="s">
        <v>24</v>
      </c>
      <c r="E702" s="15">
        <v>15578</v>
      </c>
      <c r="F702" s="23">
        <v>9648</v>
      </c>
      <c r="G702" s="24" t="s">
        <v>6</v>
      </c>
      <c r="H702" s="18">
        <v>1</v>
      </c>
      <c r="I702" s="19">
        <f>VLOOKUP(B702,[1]Лист2!$A:$J,10,0)</f>
        <v>9516.0849999999991</v>
      </c>
      <c r="J702" s="29">
        <v>9611.2458499999993</v>
      </c>
      <c r="K702" s="19">
        <f t="shared" si="10"/>
        <v>-5966.7541500000007</v>
      </c>
      <c r="L702" s="18"/>
      <c r="M702" s="18"/>
      <c r="N702" s="18"/>
      <c r="O702" s="26" t="s">
        <v>1036</v>
      </c>
    </row>
    <row r="703" spans="1:15" ht="15" x14ac:dyDescent="0.25">
      <c r="A703">
        <v>701</v>
      </c>
      <c r="B703" s="7" t="s">
        <v>627</v>
      </c>
      <c r="C703" s="13" t="s">
        <v>1356</v>
      </c>
      <c r="D703" s="14" t="s">
        <v>628</v>
      </c>
      <c r="E703" s="16">
        <v>12391</v>
      </c>
      <c r="F703" s="15">
        <v>16519</v>
      </c>
      <c r="G703" s="17" t="s">
        <v>6</v>
      </c>
      <c r="H703" s="18">
        <v>1</v>
      </c>
      <c r="I703" s="19"/>
      <c r="J703" s="19">
        <v>15050</v>
      </c>
      <c r="K703" s="19">
        <f t="shared" si="10"/>
        <v>2659</v>
      </c>
      <c r="L703" s="18"/>
      <c r="M703" s="18"/>
      <c r="N703" s="18"/>
      <c r="O703" s="26" t="s">
        <v>1036</v>
      </c>
    </row>
    <row r="704" spans="1:15" ht="15" x14ac:dyDescent="0.25">
      <c r="A704">
        <v>702</v>
      </c>
      <c r="B704" s="8" t="s">
        <v>629</v>
      </c>
      <c r="C704" s="21" t="s">
        <v>1543</v>
      </c>
      <c r="D704" s="22" t="s">
        <v>628</v>
      </c>
      <c r="E704" s="23">
        <v>12440</v>
      </c>
      <c r="F704" s="15">
        <v>16584</v>
      </c>
      <c r="G704" s="24" t="s">
        <v>6</v>
      </c>
      <c r="H704" s="18">
        <v>1</v>
      </c>
      <c r="I704" s="19"/>
      <c r="J704" s="19">
        <v>15050</v>
      </c>
      <c r="K704" s="19">
        <f t="shared" si="10"/>
        <v>2610</v>
      </c>
      <c r="L704" s="18"/>
      <c r="M704" s="18"/>
      <c r="N704" s="18"/>
      <c r="O704" s="26" t="s">
        <v>1036</v>
      </c>
    </row>
    <row r="705" spans="1:15" ht="15" x14ac:dyDescent="0.25">
      <c r="A705">
        <v>703</v>
      </c>
      <c r="B705" s="7" t="s">
        <v>630</v>
      </c>
      <c r="C705" s="13" t="s">
        <v>1082</v>
      </c>
      <c r="D705" s="14" t="s">
        <v>5</v>
      </c>
      <c r="E705" s="15">
        <v>2079</v>
      </c>
      <c r="F705" s="16">
        <v>1253</v>
      </c>
      <c r="G705" s="17" t="s">
        <v>136</v>
      </c>
      <c r="H705" s="18">
        <v>1</v>
      </c>
      <c r="I705" s="19"/>
      <c r="J705" s="19">
        <v>2099.79</v>
      </c>
      <c r="K705" s="19">
        <f t="shared" si="10"/>
        <v>20.789999999999964</v>
      </c>
      <c r="L705" s="18"/>
      <c r="M705" s="18"/>
      <c r="N705" s="18"/>
      <c r="O705" s="26" t="s">
        <v>1036</v>
      </c>
    </row>
    <row r="706" spans="1:15" ht="15" x14ac:dyDescent="0.25">
      <c r="A706">
        <v>704</v>
      </c>
      <c r="B706" s="8" t="s">
        <v>631</v>
      </c>
      <c r="C706" s="21" t="s">
        <v>1544</v>
      </c>
      <c r="D706" s="22" t="s">
        <v>119</v>
      </c>
      <c r="E706" s="15">
        <v>20341</v>
      </c>
      <c r="F706" s="23">
        <v>10024</v>
      </c>
      <c r="G706" s="24" t="s">
        <v>6</v>
      </c>
      <c r="H706" s="18">
        <v>1</v>
      </c>
      <c r="I706" s="19">
        <f>VLOOKUP(B706,[1]Лист2!$A:$J,10,0)</f>
        <v>10272.565000000001</v>
      </c>
      <c r="J706" s="29">
        <v>10375.290650000001</v>
      </c>
      <c r="K706" s="19">
        <f t="shared" si="10"/>
        <v>-9965.7093499999992</v>
      </c>
      <c r="L706" s="18"/>
      <c r="M706" s="18"/>
      <c r="N706" s="18"/>
      <c r="O706" s="26" t="s">
        <v>1036</v>
      </c>
    </row>
    <row r="707" spans="1:15" ht="15" x14ac:dyDescent="0.25">
      <c r="A707">
        <v>705</v>
      </c>
      <c r="B707" s="7" t="s">
        <v>632</v>
      </c>
      <c r="C707" s="13" t="s">
        <v>1545</v>
      </c>
      <c r="D707" s="14" t="s">
        <v>16</v>
      </c>
      <c r="E707" s="15">
        <v>5164</v>
      </c>
      <c r="F707" s="16">
        <v>1988.4</v>
      </c>
      <c r="G707" s="17" t="s">
        <v>71</v>
      </c>
      <c r="H707" s="18">
        <v>1</v>
      </c>
      <c r="I707" s="19">
        <f>VLOOKUP(B707,[1]Лист2!$A:$J,10,0)</f>
        <v>2327.5549999999998</v>
      </c>
      <c r="J707" s="29">
        <v>2350.8305499999997</v>
      </c>
      <c r="K707" s="19">
        <f t="shared" ref="K707:K770" si="11">J707-E707</f>
        <v>-2813.1694500000003</v>
      </c>
      <c r="L707" s="18"/>
      <c r="M707" s="18"/>
      <c r="N707" s="18"/>
      <c r="O707" s="26" t="s">
        <v>1036</v>
      </c>
    </row>
    <row r="708" spans="1:15" ht="15" x14ac:dyDescent="0.25">
      <c r="A708">
        <v>706</v>
      </c>
      <c r="B708" s="8" t="s">
        <v>633</v>
      </c>
      <c r="C708" s="21" t="s">
        <v>1546</v>
      </c>
      <c r="D708" s="22" t="s">
        <v>16</v>
      </c>
      <c r="E708" s="15">
        <v>5164</v>
      </c>
      <c r="F708" s="23">
        <v>3142</v>
      </c>
      <c r="G708" s="24" t="s">
        <v>6</v>
      </c>
      <c r="H708" s="18">
        <v>1</v>
      </c>
      <c r="I708" s="19">
        <f>VLOOKUP(B708,[1]Лист2!$A:$J,10,0)</f>
        <v>3285.96</v>
      </c>
      <c r="J708" s="29">
        <v>3318.8196000000003</v>
      </c>
      <c r="K708" s="19">
        <f t="shared" si="11"/>
        <v>-1845.1803999999997</v>
      </c>
      <c r="L708" s="18"/>
      <c r="M708" s="18"/>
      <c r="N708" s="18"/>
      <c r="O708" s="26" t="s">
        <v>1036</v>
      </c>
    </row>
    <row r="709" spans="1:15" ht="15" x14ac:dyDescent="0.25">
      <c r="A709">
        <v>707</v>
      </c>
      <c r="B709" s="7" t="s">
        <v>634</v>
      </c>
      <c r="C709" s="13" t="s">
        <v>1547</v>
      </c>
      <c r="D709" s="14" t="s">
        <v>8</v>
      </c>
      <c r="E709" s="15">
        <v>1992</v>
      </c>
      <c r="F709" s="16">
        <v>704</v>
      </c>
      <c r="G709" s="17" t="s">
        <v>6</v>
      </c>
      <c r="H709" s="18">
        <v>4</v>
      </c>
      <c r="I709" s="19">
        <f>VLOOKUP(B709,[1]Лист2!$A:$J,10,0)</f>
        <v>752.54</v>
      </c>
      <c r="J709" s="29">
        <v>760.06539999999995</v>
      </c>
      <c r="K709" s="19">
        <f t="shared" si="11"/>
        <v>-1231.9346</v>
      </c>
      <c r="L709" s="18"/>
      <c r="M709" s="18"/>
      <c r="N709" s="18"/>
      <c r="O709" s="26" t="s">
        <v>1036</v>
      </c>
    </row>
    <row r="710" spans="1:15" ht="15" x14ac:dyDescent="0.25">
      <c r="A710">
        <v>708</v>
      </c>
      <c r="B710" s="8" t="s">
        <v>634</v>
      </c>
      <c r="C710" s="21" t="s">
        <v>1547</v>
      </c>
      <c r="D710" s="22" t="s">
        <v>8</v>
      </c>
      <c r="E710" s="15">
        <v>1992</v>
      </c>
      <c r="F710" s="23">
        <v>704</v>
      </c>
      <c r="G710" s="24" t="s">
        <v>6</v>
      </c>
      <c r="H710" s="18">
        <v>5</v>
      </c>
      <c r="I710" s="19">
        <f>VLOOKUP(B710,[1]Лист2!$A:$J,10,0)</f>
        <v>752.54</v>
      </c>
      <c r="J710" s="29">
        <v>760.06539999999995</v>
      </c>
      <c r="K710" s="19">
        <f t="shared" si="11"/>
        <v>-1231.9346</v>
      </c>
      <c r="L710" s="18"/>
      <c r="M710" s="18"/>
      <c r="N710" s="18"/>
      <c r="O710" s="26" t="s">
        <v>1036</v>
      </c>
    </row>
    <row r="711" spans="1:15" ht="15" x14ac:dyDescent="0.25">
      <c r="A711">
        <v>709</v>
      </c>
      <c r="B711" s="7" t="s">
        <v>634</v>
      </c>
      <c r="C711" s="13" t="s">
        <v>1547</v>
      </c>
      <c r="D711" s="14" t="s">
        <v>8</v>
      </c>
      <c r="E711" s="15">
        <v>1992</v>
      </c>
      <c r="F711" s="16">
        <v>704</v>
      </c>
      <c r="G711" s="17" t="s">
        <v>6</v>
      </c>
      <c r="H711" s="18">
        <v>25</v>
      </c>
      <c r="I711" s="19">
        <f>VLOOKUP(B711,[1]Лист2!$A:$J,10,0)</f>
        <v>752.54</v>
      </c>
      <c r="J711" s="29">
        <v>760.06539999999995</v>
      </c>
      <c r="K711" s="19">
        <f t="shared" si="11"/>
        <v>-1231.9346</v>
      </c>
      <c r="L711" s="18"/>
      <c r="M711" s="18"/>
      <c r="N711" s="18"/>
      <c r="O711" s="26" t="s">
        <v>1036</v>
      </c>
    </row>
    <row r="712" spans="1:15" ht="15" x14ac:dyDescent="0.25">
      <c r="A712">
        <v>710</v>
      </c>
      <c r="B712" s="8" t="s">
        <v>634</v>
      </c>
      <c r="C712" s="21" t="s">
        <v>1547</v>
      </c>
      <c r="D712" s="22" t="s">
        <v>8</v>
      </c>
      <c r="E712" s="15">
        <v>1992</v>
      </c>
      <c r="F712" s="23">
        <v>704</v>
      </c>
      <c r="G712" s="24" t="s">
        <v>6</v>
      </c>
      <c r="H712" s="18">
        <v>89</v>
      </c>
      <c r="I712" s="19">
        <f>VLOOKUP(B712,[1]Лист2!$A:$J,10,0)</f>
        <v>752.54</v>
      </c>
      <c r="J712" s="29">
        <v>760.06539999999995</v>
      </c>
      <c r="K712" s="19">
        <f t="shared" si="11"/>
        <v>-1231.9346</v>
      </c>
      <c r="L712" s="18"/>
      <c r="M712" s="18"/>
      <c r="N712" s="18"/>
      <c r="O712" s="26" t="s">
        <v>1036</v>
      </c>
    </row>
    <row r="713" spans="1:15" ht="15" x14ac:dyDescent="0.25">
      <c r="A713">
        <v>711</v>
      </c>
      <c r="B713" s="7" t="s">
        <v>635</v>
      </c>
      <c r="C713" s="13" t="s">
        <v>1548</v>
      </c>
      <c r="D713" s="14" t="s">
        <v>8</v>
      </c>
      <c r="E713" s="15">
        <v>37197</v>
      </c>
      <c r="F713" s="16">
        <v>8703</v>
      </c>
      <c r="G713" s="17" t="s">
        <v>6</v>
      </c>
      <c r="H713" s="18">
        <v>1</v>
      </c>
      <c r="I713" s="19">
        <f>VLOOKUP(B713,[1]Лист2!$A:$J,10,0)</f>
        <v>8937.89</v>
      </c>
      <c r="J713" s="29">
        <v>20502</v>
      </c>
      <c r="K713" s="19">
        <f t="shared" si="11"/>
        <v>-16695</v>
      </c>
      <c r="L713" s="18"/>
      <c r="M713" s="18"/>
      <c r="N713" s="18"/>
      <c r="O713" s="26" t="s">
        <v>1036</v>
      </c>
    </row>
    <row r="714" spans="1:15" ht="15" x14ac:dyDescent="0.25">
      <c r="A714">
        <v>712</v>
      </c>
      <c r="B714" s="8" t="s">
        <v>636</v>
      </c>
      <c r="C714" s="21" t="s">
        <v>1549</v>
      </c>
      <c r="D714" s="22" t="s">
        <v>8</v>
      </c>
      <c r="E714" s="23">
        <v>27433</v>
      </c>
      <c r="F714" s="15">
        <v>32176</v>
      </c>
      <c r="G714" s="24" t="s">
        <v>6</v>
      </c>
      <c r="H714" s="18">
        <v>1</v>
      </c>
      <c r="I714" s="19"/>
      <c r="J714" s="19">
        <v>31050</v>
      </c>
      <c r="K714" s="19">
        <f t="shared" si="11"/>
        <v>3617</v>
      </c>
      <c r="L714" s="18"/>
      <c r="M714" s="18"/>
      <c r="N714" s="18"/>
      <c r="O714" s="26" t="s">
        <v>1036</v>
      </c>
    </row>
    <row r="715" spans="1:15" ht="15" x14ac:dyDescent="0.25">
      <c r="A715">
        <v>713</v>
      </c>
      <c r="B715" s="7" t="s">
        <v>637</v>
      </c>
      <c r="C715" s="13" t="s">
        <v>1550</v>
      </c>
      <c r="D715" s="14" t="s">
        <v>8</v>
      </c>
      <c r="E715" s="15">
        <v>1092</v>
      </c>
      <c r="F715" s="16">
        <v>897</v>
      </c>
      <c r="G715" s="17" t="s">
        <v>6</v>
      </c>
      <c r="H715" s="18">
        <v>1</v>
      </c>
      <c r="I715" s="19"/>
      <c r="J715" s="19">
        <v>1102.92</v>
      </c>
      <c r="K715" s="19">
        <f t="shared" si="11"/>
        <v>10.920000000000073</v>
      </c>
      <c r="L715" s="18"/>
      <c r="M715" s="18"/>
      <c r="N715" s="18"/>
      <c r="O715" s="26" t="s">
        <v>1036</v>
      </c>
    </row>
    <row r="716" spans="1:15" ht="15" x14ac:dyDescent="0.25">
      <c r="A716">
        <v>714</v>
      </c>
      <c r="B716" s="8" t="s">
        <v>638</v>
      </c>
      <c r="C716" s="21" t="s">
        <v>1551</v>
      </c>
      <c r="D716" s="22" t="s">
        <v>8</v>
      </c>
      <c r="E716" s="23">
        <v>2563</v>
      </c>
      <c r="F716" s="15">
        <v>3014</v>
      </c>
      <c r="G716" s="24" t="s">
        <v>6</v>
      </c>
      <c r="H716" s="18">
        <v>1</v>
      </c>
      <c r="I716" s="19"/>
      <c r="J716" s="19">
        <v>2893.44</v>
      </c>
      <c r="K716" s="19">
        <f t="shared" si="11"/>
        <v>330.44000000000005</v>
      </c>
      <c r="L716" s="18"/>
      <c r="M716" s="18"/>
      <c r="N716" s="18"/>
      <c r="O716" s="26" t="s">
        <v>1036</v>
      </c>
    </row>
    <row r="717" spans="1:15" ht="15" x14ac:dyDescent="0.25">
      <c r="A717">
        <v>715</v>
      </c>
      <c r="B717" s="7" t="s">
        <v>639</v>
      </c>
      <c r="C717" s="13" t="s">
        <v>1552</v>
      </c>
      <c r="D717" s="14" t="s">
        <v>8</v>
      </c>
      <c r="E717" s="15">
        <v>5294</v>
      </c>
      <c r="F717" s="16">
        <v>1377</v>
      </c>
      <c r="G717" s="17" t="s">
        <v>6</v>
      </c>
      <c r="H717" s="18">
        <v>2</v>
      </c>
      <c r="I717" s="19">
        <f>VLOOKUP(B717,[1]Лист2!$A:$J,10,0)</f>
        <v>1219.43</v>
      </c>
      <c r="J717" s="19">
        <v>1650</v>
      </c>
      <c r="K717" s="19">
        <f t="shared" si="11"/>
        <v>-3644</v>
      </c>
      <c r="L717" s="18"/>
      <c r="M717" s="18"/>
      <c r="N717" s="18"/>
      <c r="O717" s="26" t="s">
        <v>1036</v>
      </c>
    </row>
    <row r="718" spans="1:15" ht="15" x14ac:dyDescent="0.25">
      <c r="A718">
        <v>716</v>
      </c>
      <c r="B718" s="8" t="s">
        <v>640</v>
      </c>
      <c r="C718" s="21" t="s">
        <v>1553</v>
      </c>
      <c r="D718" s="22" t="s">
        <v>8</v>
      </c>
      <c r="E718" s="23">
        <v>1399</v>
      </c>
      <c r="F718" s="15">
        <v>1418</v>
      </c>
      <c r="G718" s="24" t="s">
        <v>6</v>
      </c>
      <c r="H718" s="18">
        <v>1</v>
      </c>
      <c r="I718" s="19"/>
      <c r="J718" s="19">
        <v>1412.99</v>
      </c>
      <c r="K718" s="19">
        <f t="shared" si="11"/>
        <v>13.990000000000009</v>
      </c>
      <c r="L718" s="18"/>
      <c r="M718" s="18"/>
      <c r="N718" s="18"/>
      <c r="O718" s="26" t="s">
        <v>1036</v>
      </c>
    </row>
    <row r="719" spans="1:15" ht="15" x14ac:dyDescent="0.25">
      <c r="A719">
        <v>717</v>
      </c>
      <c r="B719" s="7" t="s">
        <v>641</v>
      </c>
      <c r="C719" s="13" t="s">
        <v>1554</v>
      </c>
      <c r="D719" s="14" t="s">
        <v>8</v>
      </c>
      <c r="E719" s="16">
        <v>85642</v>
      </c>
      <c r="F719" s="15">
        <v>100433</v>
      </c>
      <c r="G719" s="17" t="s">
        <v>6</v>
      </c>
      <c r="H719" s="18">
        <v>1</v>
      </c>
      <c r="I719" s="19"/>
      <c r="J719" s="19">
        <v>96415.679999999993</v>
      </c>
      <c r="K719" s="19">
        <f t="shared" si="11"/>
        <v>10773.679999999993</v>
      </c>
      <c r="L719" s="18"/>
      <c r="M719" s="18"/>
      <c r="N719" s="18"/>
      <c r="O719" s="26" t="s">
        <v>1036</v>
      </c>
    </row>
    <row r="720" spans="1:15" ht="15" x14ac:dyDescent="0.25">
      <c r="A720">
        <v>718</v>
      </c>
      <c r="B720" s="8" t="s">
        <v>642</v>
      </c>
      <c r="C720" s="21" t="s">
        <v>1555</v>
      </c>
      <c r="D720" s="22" t="s">
        <v>8</v>
      </c>
      <c r="E720" s="15">
        <v>1536</v>
      </c>
      <c r="F720" s="23">
        <v>1010</v>
      </c>
      <c r="G720" s="24" t="s">
        <v>6</v>
      </c>
      <c r="H720" s="18">
        <v>5</v>
      </c>
      <c r="I720" s="19">
        <f>VLOOKUP(B720,[1]Лист2!$A:$J,10,0)</f>
        <v>1031.2950000000001</v>
      </c>
      <c r="J720" s="29">
        <v>1041.6079500000001</v>
      </c>
      <c r="K720" s="19">
        <f t="shared" si="11"/>
        <v>-494.39204999999993</v>
      </c>
      <c r="L720" s="18"/>
      <c r="M720" s="18"/>
      <c r="N720" s="18"/>
      <c r="O720" s="26" t="s">
        <v>1036</v>
      </c>
    </row>
    <row r="721" spans="1:15" ht="15" x14ac:dyDescent="0.25">
      <c r="A721">
        <v>719</v>
      </c>
      <c r="B721" s="7" t="s">
        <v>643</v>
      </c>
      <c r="C721" s="13" t="s">
        <v>1556</v>
      </c>
      <c r="D721" s="14" t="s">
        <v>8</v>
      </c>
      <c r="E721" s="16">
        <v>8238</v>
      </c>
      <c r="F721" s="15">
        <v>9669</v>
      </c>
      <c r="G721" s="17" t="s">
        <v>6</v>
      </c>
      <c r="H721" s="18">
        <v>1</v>
      </c>
      <c r="I721" s="19"/>
      <c r="J721" s="19">
        <v>9282.24</v>
      </c>
      <c r="K721" s="19">
        <f t="shared" si="11"/>
        <v>1044.2399999999998</v>
      </c>
      <c r="L721" s="18"/>
      <c r="M721" s="18"/>
      <c r="N721" s="18"/>
      <c r="O721" s="26" t="s">
        <v>1036</v>
      </c>
    </row>
    <row r="722" spans="1:15" ht="15" x14ac:dyDescent="0.25">
      <c r="A722">
        <v>720</v>
      </c>
      <c r="B722" s="8" t="s">
        <v>644</v>
      </c>
      <c r="C722" s="21" t="s">
        <v>1557</v>
      </c>
      <c r="D722" s="22" t="s">
        <v>8</v>
      </c>
      <c r="E722" s="15">
        <v>1283</v>
      </c>
      <c r="F722" s="23">
        <v>1238</v>
      </c>
      <c r="G722" s="24" t="s">
        <v>6</v>
      </c>
      <c r="H722" s="18">
        <v>1</v>
      </c>
      <c r="I722" s="19"/>
      <c r="J722" s="19">
        <v>1295.83</v>
      </c>
      <c r="K722" s="19">
        <f t="shared" si="11"/>
        <v>12.829999999999927</v>
      </c>
      <c r="L722" s="18"/>
      <c r="M722" s="18"/>
      <c r="N722" s="18"/>
      <c r="O722" s="26" t="s">
        <v>1036</v>
      </c>
    </row>
    <row r="723" spans="1:15" ht="15" x14ac:dyDescent="0.25">
      <c r="A723">
        <v>721</v>
      </c>
      <c r="B723" s="7" t="s">
        <v>645</v>
      </c>
      <c r="C723" s="13" t="s">
        <v>1558</v>
      </c>
      <c r="D723" s="14" t="s">
        <v>8</v>
      </c>
      <c r="E723" s="16">
        <v>4403</v>
      </c>
      <c r="F723" s="15">
        <v>5172</v>
      </c>
      <c r="G723" s="17" t="s">
        <v>6</v>
      </c>
      <c r="H723" s="18">
        <v>1</v>
      </c>
      <c r="I723" s="19"/>
      <c r="J723" s="19">
        <v>4965.12</v>
      </c>
      <c r="K723" s="19">
        <f t="shared" si="11"/>
        <v>562.11999999999989</v>
      </c>
      <c r="L723" s="18"/>
      <c r="M723" s="18"/>
      <c r="N723" s="18"/>
      <c r="O723" s="26" t="s">
        <v>1036</v>
      </c>
    </row>
    <row r="724" spans="1:15" ht="15" x14ac:dyDescent="0.25">
      <c r="A724">
        <v>722</v>
      </c>
      <c r="B724" s="8" t="s">
        <v>646</v>
      </c>
      <c r="C724" s="21" t="s">
        <v>1559</v>
      </c>
      <c r="D724" s="22" t="s">
        <v>407</v>
      </c>
      <c r="E724" s="15">
        <v>8446</v>
      </c>
      <c r="F724" s="23">
        <v>7643.52</v>
      </c>
      <c r="G724" s="24" t="s">
        <v>78</v>
      </c>
      <c r="H724" s="18">
        <v>1</v>
      </c>
      <c r="I724" s="19">
        <f>VLOOKUP(B724,[1]Лист2!$A:$J,10,0)</f>
        <v>7206.26</v>
      </c>
      <c r="J724" s="19">
        <v>7337.7791999999999</v>
      </c>
      <c r="K724" s="19">
        <f t="shared" si="11"/>
        <v>-1108.2208000000001</v>
      </c>
      <c r="L724" s="18"/>
      <c r="M724" s="18"/>
      <c r="N724" s="18"/>
      <c r="O724" s="26" t="s">
        <v>1036</v>
      </c>
    </row>
    <row r="725" spans="1:15" ht="15" x14ac:dyDescent="0.25">
      <c r="A725">
        <v>723</v>
      </c>
      <c r="B725" s="7" t="s">
        <v>647</v>
      </c>
      <c r="C725" s="13" t="s">
        <v>1560</v>
      </c>
      <c r="D725" s="14" t="s">
        <v>16</v>
      </c>
      <c r="E725" s="16">
        <v>28839</v>
      </c>
      <c r="F725" s="15">
        <v>31996.81</v>
      </c>
      <c r="G725" s="17" t="s">
        <v>9</v>
      </c>
      <c r="H725" s="18">
        <v>1</v>
      </c>
      <c r="I725" s="19"/>
      <c r="J725" s="19">
        <v>30716.937600000001</v>
      </c>
      <c r="K725" s="19">
        <f t="shared" si="11"/>
        <v>1877.9376000000011</v>
      </c>
      <c r="L725" s="18"/>
      <c r="M725" s="18"/>
      <c r="N725" s="18"/>
      <c r="O725" s="26" t="s">
        <v>1036</v>
      </c>
    </row>
    <row r="726" spans="1:15" ht="15" x14ac:dyDescent="0.25">
      <c r="A726">
        <v>724</v>
      </c>
      <c r="B726" s="8" t="s">
        <v>647</v>
      </c>
      <c r="C726" s="21" t="s">
        <v>1560</v>
      </c>
      <c r="D726" s="22" t="s">
        <v>16</v>
      </c>
      <c r="E726" s="23">
        <v>29675</v>
      </c>
      <c r="F726" s="15">
        <v>31996.81</v>
      </c>
      <c r="G726" s="24" t="s">
        <v>9</v>
      </c>
      <c r="H726" s="18">
        <v>1</v>
      </c>
      <c r="I726" s="19"/>
      <c r="J726" s="19">
        <v>30716.937600000001</v>
      </c>
      <c r="K726" s="19">
        <f t="shared" si="11"/>
        <v>1041.9376000000011</v>
      </c>
      <c r="L726" s="18"/>
      <c r="M726" s="18"/>
      <c r="N726" s="18"/>
      <c r="O726" s="26" t="s">
        <v>1036</v>
      </c>
    </row>
    <row r="727" spans="1:15" ht="15" x14ac:dyDescent="0.25">
      <c r="A727">
        <v>725</v>
      </c>
      <c r="B727" s="7" t="s">
        <v>648</v>
      </c>
      <c r="C727" s="13" t="s">
        <v>1561</v>
      </c>
      <c r="D727" s="14" t="s">
        <v>16</v>
      </c>
      <c r="E727" s="16">
        <v>18567</v>
      </c>
      <c r="F727" s="15">
        <v>22770</v>
      </c>
      <c r="G727" s="17" t="s">
        <v>6</v>
      </c>
      <c r="H727" s="18">
        <v>1</v>
      </c>
      <c r="I727" s="19"/>
      <c r="J727" s="19">
        <v>21859.200000000001</v>
      </c>
      <c r="K727" s="19">
        <f t="shared" si="11"/>
        <v>3292.2000000000007</v>
      </c>
      <c r="L727" s="18"/>
      <c r="M727" s="18"/>
      <c r="N727" s="18"/>
      <c r="O727" s="26" t="s">
        <v>1036</v>
      </c>
    </row>
    <row r="728" spans="1:15" ht="15" x14ac:dyDescent="0.25">
      <c r="A728">
        <v>726</v>
      </c>
      <c r="B728" s="8" t="s">
        <v>649</v>
      </c>
      <c r="C728" s="21" t="s">
        <v>1562</v>
      </c>
      <c r="D728" s="22" t="s">
        <v>16</v>
      </c>
      <c r="E728" s="15">
        <v>18567</v>
      </c>
      <c r="F728" s="23">
        <v>17604.48</v>
      </c>
      <c r="G728" s="24" t="s">
        <v>78</v>
      </c>
      <c r="H728" s="18">
        <v>1</v>
      </c>
      <c r="I728" s="19">
        <f>VLOOKUP(B728,[1]Лист2!$A:$J,10,0)</f>
        <v>18287.509999999998</v>
      </c>
      <c r="J728" s="29">
        <v>18470.3851</v>
      </c>
      <c r="K728" s="19">
        <f t="shared" si="11"/>
        <v>-96.614900000000489</v>
      </c>
      <c r="L728" s="18"/>
      <c r="M728" s="18"/>
      <c r="N728" s="18"/>
      <c r="O728" s="26" t="s">
        <v>1036</v>
      </c>
    </row>
    <row r="729" spans="1:15" ht="15" x14ac:dyDescent="0.25">
      <c r="A729">
        <v>727</v>
      </c>
      <c r="B729" s="7" t="s">
        <v>650</v>
      </c>
      <c r="C729" s="13" t="s">
        <v>1563</v>
      </c>
      <c r="D729" s="14" t="s">
        <v>16</v>
      </c>
      <c r="E729" s="16">
        <v>39726</v>
      </c>
      <c r="F729" s="15">
        <v>48709</v>
      </c>
      <c r="G729" s="17" t="s">
        <v>6</v>
      </c>
      <c r="H729" s="18">
        <v>1</v>
      </c>
      <c r="I729" s="19"/>
      <c r="J729" s="19">
        <v>41760.639999999999</v>
      </c>
      <c r="K729" s="19">
        <f t="shared" si="11"/>
        <v>2034.6399999999994</v>
      </c>
      <c r="L729" s="18"/>
      <c r="M729" s="18"/>
      <c r="N729" s="18"/>
      <c r="O729" s="26" t="s">
        <v>1036</v>
      </c>
    </row>
    <row r="730" spans="1:15" ht="15" x14ac:dyDescent="0.25">
      <c r="A730">
        <v>728</v>
      </c>
      <c r="B730" s="8" t="s">
        <v>651</v>
      </c>
      <c r="C730" s="21" t="s">
        <v>1045</v>
      </c>
      <c r="D730" s="22" t="s">
        <v>24</v>
      </c>
      <c r="E730" s="15">
        <v>21789</v>
      </c>
      <c r="F730" s="23">
        <v>9718</v>
      </c>
      <c r="G730" s="24" t="s">
        <v>6</v>
      </c>
      <c r="H730" s="18">
        <v>1</v>
      </c>
      <c r="I730" s="19"/>
      <c r="J730" s="19">
        <v>22006.89</v>
      </c>
      <c r="K730" s="19">
        <f t="shared" si="11"/>
        <v>217.88999999999942</v>
      </c>
      <c r="L730" s="18"/>
      <c r="M730" s="18"/>
      <c r="N730" s="18"/>
      <c r="O730" s="26" t="s">
        <v>1036</v>
      </c>
    </row>
    <row r="731" spans="1:15" ht="15" x14ac:dyDescent="0.25">
      <c r="A731">
        <v>729</v>
      </c>
      <c r="B731" s="7" t="s">
        <v>652</v>
      </c>
      <c r="C731" s="13" t="s">
        <v>1045</v>
      </c>
      <c r="D731" s="14" t="s">
        <v>24</v>
      </c>
      <c r="E731" s="15">
        <v>21789</v>
      </c>
      <c r="F731" s="16">
        <v>11751</v>
      </c>
      <c r="G731" s="17" t="s">
        <v>6</v>
      </c>
      <c r="H731" s="18">
        <v>1</v>
      </c>
      <c r="I731" s="19">
        <f>VLOOKUP(B731,[1]Лист2!$A:$J,10,0)</f>
        <v>8179.44</v>
      </c>
      <c r="J731" s="19">
        <v>11280.96</v>
      </c>
      <c r="K731" s="19">
        <f t="shared" si="11"/>
        <v>-10508.04</v>
      </c>
      <c r="L731" s="18"/>
      <c r="M731" s="18"/>
      <c r="N731" s="18"/>
      <c r="O731" s="26" t="s">
        <v>1036</v>
      </c>
    </row>
    <row r="732" spans="1:15" ht="15" x14ac:dyDescent="0.25">
      <c r="A732">
        <v>730</v>
      </c>
      <c r="B732" s="8" t="s">
        <v>652</v>
      </c>
      <c r="C732" s="21" t="s">
        <v>1045</v>
      </c>
      <c r="D732" s="22" t="s">
        <v>24</v>
      </c>
      <c r="E732" s="15">
        <v>15637</v>
      </c>
      <c r="F732" s="23">
        <v>11751</v>
      </c>
      <c r="G732" s="24" t="s">
        <v>6</v>
      </c>
      <c r="H732" s="18">
        <v>1</v>
      </c>
      <c r="I732" s="19">
        <f>VLOOKUP(B732,[1]Лист2!$A:$J,10,0)</f>
        <v>8179.44</v>
      </c>
      <c r="J732" s="19">
        <v>11280.96</v>
      </c>
      <c r="K732" s="19">
        <f t="shared" si="11"/>
        <v>-4356.0400000000009</v>
      </c>
      <c r="L732" s="18"/>
      <c r="M732" s="18"/>
      <c r="N732" s="18"/>
      <c r="O732" s="26" t="s">
        <v>1036</v>
      </c>
    </row>
    <row r="733" spans="1:15" ht="15" x14ac:dyDescent="0.25">
      <c r="A733">
        <v>731</v>
      </c>
      <c r="B733" s="7" t="s">
        <v>653</v>
      </c>
      <c r="C733" s="13" t="s">
        <v>1045</v>
      </c>
      <c r="D733" s="14" t="s">
        <v>24</v>
      </c>
      <c r="E733" s="15">
        <v>30158</v>
      </c>
      <c r="F733" s="16">
        <v>15292</v>
      </c>
      <c r="G733" s="17" t="s">
        <v>6</v>
      </c>
      <c r="H733" s="18">
        <v>4</v>
      </c>
      <c r="I733" s="19">
        <f>VLOOKUP(B733,[1]Лист2!$A:$J,10,0)</f>
        <v>27635.16</v>
      </c>
      <c r="J733" s="29">
        <v>27911.511600000002</v>
      </c>
      <c r="K733" s="19">
        <f t="shared" si="11"/>
        <v>-2246.4883999999984</v>
      </c>
      <c r="L733" s="18"/>
      <c r="M733" s="18"/>
      <c r="N733" s="18"/>
      <c r="O733" s="26" t="s">
        <v>1036</v>
      </c>
    </row>
    <row r="734" spans="1:15" ht="15" x14ac:dyDescent="0.25">
      <c r="A734">
        <v>732</v>
      </c>
      <c r="B734" s="8" t="s">
        <v>653</v>
      </c>
      <c r="C734" s="21" t="s">
        <v>1045</v>
      </c>
      <c r="D734" s="22" t="s">
        <v>24</v>
      </c>
      <c r="E734" s="15">
        <v>27745</v>
      </c>
      <c r="F734" s="23">
        <v>15292</v>
      </c>
      <c r="G734" s="24" t="s">
        <v>6</v>
      </c>
      <c r="H734" s="18">
        <v>1</v>
      </c>
      <c r="I734" s="19">
        <f>VLOOKUP(B734,[1]Лист2!$A:$J,10,0)</f>
        <v>27635.16</v>
      </c>
      <c r="J734" s="29">
        <v>27911.511600000002</v>
      </c>
      <c r="K734" s="19">
        <f t="shared" si="11"/>
        <v>166.51160000000164</v>
      </c>
      <c r="L734" s="18"/>
      <c r="M734" s="18"/>
      <c r="N734" s="18"/>
      <c r="O734" s="26" t="s">
        <v>1036</v>
      </c>
    </row>
    <row r="735" spans="1:15" ht="15" x14ac:dyDescent="0.25">
      <c r="A735">
        <v>733</v>
      </c>
      <c r="B735" s="7" t="s">
        <v>654</v>
      </c>
      <c r="C735" s="13" t="s">
        <v>1050</v>
      </c>
      <c r="D735" s="14" t="s">
        <v>50</v>
      </c>
      <c r="E735" s="15">
        <v>9947</v>
      </c>
      <c r="F735" s="16">
        <v>7446</v>
      </c>
      <c r="G735" s="17" t="s">
        <v>6</v>
      </c>
      <c r="H735" s="18">
        <v>1</v>
      </c>
      <c r="I735" s="19"/>
      <c r="J735" s="19">
        <v>10046.469999999999</v>
      </c>
      <c r="K735" s="19">
        <f t="shared" si="11"/>
        <v>99.469999999999345</v>
      </c>
      <c r="L735" s="18"/>
      <c r="M735" s="18"/>
      <c r="N735" s="18"/>
      <c r="O735" s="26" t="s">
        <v>1036</v>
      </c>
    </row>
    <row r="736" spans="1:15" ht="15" x14ac:dyDescent="0.25">
      <c r="A736">
        <v>734</v>
      </c>
      <c r="B736" s="8" t="s">
        <v>655</v>
      </c>
      <c r="C736" s="21" t="s">
        <v>1564</v>
      </c>
      <c r="D736" s="22" t="s">
        <v>24</v>
      </c>
      <c r="E736" s="15">
        <v>1178</v>
      </c>
      <c r="F736" s="23">
        <v>274</v>
      </c>
      <c r="G736" s="24" t="s">
        <v>6</v>
      </c>
      <c r="H736" s="18">
        <v>2</v>
      </c>
      <c r="I736" s="19">
        <f>VLOOKUP(B736,[1]Лист2!$A:$J,10,0)</f>
        <v>270.875</v>
      </c>
      <c r="J736" s="29">
        <v>273.58375000000001</v>
      </c>
      <c r="K736" s="19">
        <f t="shared" si="11"/>
        <v>-904.41624999999999</v>
      </c>
      <c r="L736" s="18"/>
      <c r="M736" s="18"/>
      <c r="N736" s="18"/>
      <c r="O736" s="26" t="s">
        <v>1036</v>
      </c>
    </row>
    <row r="737" spans="1:15" ht="15" x14ac:dyDescent="0.25">
      <c r="A737">
        <v>735</v>
      </c>
      <c r="B737" s="7" t="s">
        <v>656</v>
      </c>
      <c r="C737" s="13" t="s">
        <v>1271</v>
      </c>
      <c r="D737" s="14" t="s">
        <v>397</v>
      </c>
      <c r="E737" s="15">
        <v>5800</v>
      </c>
      <c r="F737" s="16">
        <v>2881</v>
      </c>
      <c r="G737" s="17" t="s">
        <v>6</v>
      </c>
      <c r="H737" s="18">
        <v>1</v>
      </c>
      <c r="I737" s="19">
        <f>VLOOKUP(B737,[1]Лист2!$A:$J,10,0)</f>
        <v>2942.1950000000002</v>
      </c>
      <c r="J737" s="29">
        <v>2971.6169500000001</v>
      </c>
      <c r="K737" s="19">
        <f t="shared" si="11"/>
        <v>-2828.3830499999999</v>
      </c>
      <c r="L737" s="18"/>
      <c r="M737" s="18"/>
      <c r="N737" s="18"/>
      <c r="O737" s="26" t="s">
        <v>1036</v>
      </c>
    </row>
    <row r="738" spans="1:15" ht="15" x14ac:dyDescent="0.25">
      <c r="A738">
        <v>736</v>
      </c>
      <c r="B738" s="8" t="s">
        <v>657</v>
      </c>
      <c r="C738" s="21" t="s">
        <v>1565</v>
      </c>
      <c r="D738" s="22" t="s">
        <v>24</v>
      </c>
      <c r="E738" s="15">
        <v>21887</v>
      </c>
      <c r="F738" s="23">
        <v>8606</v>
      </c>
      <c r="G738" s="24" t="s">
        <v>6</v>
      </c>
      <c r="H738" s="18">
        <v>1</v>
      </c>
      <c r="I738" s="19">
        <f>VLOOKUP(B738,[1]Лист2!$A:$J,10,0)</f>
        <v>1042.1299999999999</v>
      </c>
      <c r="J738" s="19">
        <v>8261.76</v>
      </c>
      <c r="K738" s="19">
        <f t="shared" si="11"/>
        <v>-13625.24</v>
      </c>
      <c r="L738" s="18"/>
      <c r="M738" s="18"/>
      <c r="N738" s="18"/>
      <c r="O738" s="26" t="s">
        <v>1036</v>
      </c>
    </row>
    <row r="739" spans="1:15" ht="15" x14ac:dyDescent="0.25">
      <c r="A739">
        <v>737</v>
      </c>
      <c r="B739" s="7" t="s">
        <v>658</v>
      </c>
      <c r="C739" s="13" t="s">
        <v>1566</v>
      </c>
      <c r="D739" s="14" t="s">
        <v>24</v>
      </c>
      <c r="E739" s="16">
        <v>16932</v>
      </c>
      <c r="F739" s="15">
        <v>22571</v>
      </c>
      <c r="G739" s="17" t="s">
        <v>6</v>
      </c>
      <c r="H739" s="18">
        <v>1</v>
      </c>
      <c r="I739" s="19"/>
      <c r="J739" s="19">
        <v>17856</v>
      </c>
      <c r="K739" s="19">
        <f t="shared" si="11"/>
        <v>924</v>
      </c>
      <c r="L739" s="18"/>
      <c r="M739" s="18"/>
      <c r="N739" s="18"/>
      <c r="O739" s="26" t="s">
        <v>1036</v>
      </c>
    </row>
    <row r="740" spans="1:15" ht="15" x14ac:dyDescent="0.25">
      <c r="A740">
        <v>738</v>
      </c>
      <c r="B740" s="8" t="s">
        <v>659</v>
      </c>
      <c r="C740" s="21" t="s">
        <v>1567</v>
      </c>
      <c r="D740" s="22" t="s">
        <v>326</v>
      </c>
      <c r="E740" s="23">
        <v>4483</v>
      </c>
      <c r="F740" s="15">
        <v>5116</v>
      </c>
      <c r="G740" s="24" t="s">
        <v>6</v>
      </c>
      <c r="H740" s="18">
        <v>1</v>
      </c>
      <c r="I740" s="19"/>
      <c r="J740" s="19">
        <v>4911.3599999999997</v>
      </c>
      <c r="K740" s="19">
        <f t="shared" si="11"/>
        <v>428.35999999999967</v>
      </c>
      <c r="L740" s="18"/>
      <c r="M740" s="18"/>
      <c r="N740" s="18"/>
      <c r="O740" s="26" t="s">
        <v>1036</v>
      </c>
    </row>
    <row r="741" spans="1:15" ht="15" x14ac:dyDescent="0.25">
      <c r="A741">
        <v>739</v>
      </c>
      <c r="B741" s="7" t="s">
        <v>660</v>
      </c>
      <c r="C741" s="13" t="s">
        <v>1568</v>
      </c>
      <c r="D741" s="14" t="s">
        <v>5</v>
      </c>
      <c r="E741" s="15">
        <v>1662</v>
      </c>
      <c r="F741" s="16">
        <v>1552</v>
      </c>
      <c r="G741" s="17" t="s">
        <v>6</v>
      </c>
      <c r="H741" s="18">
        <v>1</v>
      </c>
      <c r="I741" s="19"/>
      <c r="J741" s="19">
        <v>1678.6200000000001</v>
      </c>
      <c r="K741" s="19">
        <f t="shared" si="11"/>
        <v>16.620000000000118</v>
      </c>
      <c r="L741" s="18"/>
      <c r="M741" s="18"/>
      <c r="N741" s="18"/>
      <c r="O741" s="26" t="s">
        <v>1036</v>
      </c>
    </row>
    <row r="742" spans="1:15" ht="15" x14ac:dyDescent="0.25">
      <c r="A742">
        <v>740</v>
      </c>
      <c r="B742" s="8" t="s">
        <v>661</v>
      </c>
      <c r="C742" s="21" t="s">
        <v>1213</v>
      </c>
      <c r="D742" s="22" t="s">
        <v>5</v>
      </c>
      <c r="E742" s="15">
        <v>3282</v>
      </c>
      <c r="F742" s="23">
        <v>1971.59</v>
      </c>
      <c r="G742" s="24" t="s">
        <v>11</v>
      </c>
      <c r="H742" s="18">
        <v>1</v>
      </c>
      <c r="I742" s="19">
        <f>VLOOKUP(B742,[1]Лист2!$A:$J,10,0)</f>
        <v>1686.32</v>
      </c>
      <c r="J742" s="19">
        <v>1892.7263999999998</v>
      </c>
      <c r="K742" s="19">
        <f t="shared" si="11"/>
        <v>-1389.2736000000002</v>
      </c>
      <c r="L742" s="18"/>
      <c r="M742" s="18"/>
      <c r="N742" s="18"/>
      <c r="O742" s="26" t="s">
        <v>1036</v>
      </c>
    </row>
    <row r="743" spans="1:15" ht="15" x14ac:dyDescent="0.25">
      <c r="A743">
        <v>741</v>
      </c>
      <c r="B743" s="7" t="s">
        <v>662</v>
      </c>
      <c r="C743" s="13" t="s">
        <v>1569</v>
      </c>
      <c r="D743" s="14" t="s">
        <v>5</v>
      </c>
      <c r="E743" s="15">
        <v>18920</v>
      </c>
      <c r="F743" s="16">
        <v>8045</v>
      </c>
      <c r="G743" s="17" t="s">
        <v>6</v>
      </c>
      <c r="H743" s="18">
        <v>1</v>
      </c>
      <c r="I743" s="19">
        <f>VLOOKUP(B743,[1]Лист2!$A:$J,10,0)</f>
        <v>15709.764999999999</v>
      </c>
      <c r="J743" s="29">
        <v>15866.862649999999</v>
      </c>
      <c r="K743" s="19">
        <f t="shared" si="11"/>
        <v>-3053.1373500000009</v>
      </c>
      <c r="L743" s="18"/>
      <c r="M743" s="18"/>
      <c r="N743" s="18"/>
      <c r="O743" s="26" t="s">
        <v>1036</v>
      </c>
    </row>
    <row r="744" spans="1:15" ht="15" x14ac:dyDescent="0.25">
      <c r="A744">
        <v>742</v>
      </c>
      <c r="B744" s="8" t="s">
        <v>663</v>
      </c>
      <c r="C744" s="21" t="s">
        <v>1570</v>
      </c>
      <c r="D744" s="22" t="s">
        <v>24</v>
      </c>
      <c r="E744" s="15">
        <v>22047</v>
      </c>
      <c r="F744" s="23">
        <v>457</v>
      </c>
      <c r="G744" s="24" t="s">
        <v>6</v>
      </c>
      <c r="H744" s="18">
        <v>1</v>
      </c>
      <c r="I744" s="19">
        <f>VLOOKUP(B744,[1]Лист2!$A:$J,10,0)</f>
        <v>3146.09</v>
      </c>
      <c r="J744" s="29">
        <v>10050</v>
      </c>
      <c r="K744" s="19">
        <f t="shared" si="11"/>
        <v>-11997</v>
      </c>
      <c r="L744" s="18"/>
      <c r="M744" s="18"/>
      <c r="N744" s="18"/>
      <c r="O744" s="26" t="s">
        <v>1036</v>
      </c>
    </row>
    <row r="745" spans="1:15" ht="15" x14ac:dyDescent="0.25">
      <c r="A745">
        <v>743</v>
      </c>
      <c r="B745" s="7" t="s">
        <v>664</v>
      </c>
      <c r="C745" s="13" t="s">
        <v>1571</v>
      </c>
      <c r="D745" s="14" t="s">
        <v>5</v>
      </c>
      <c r="E745" s="15">
        <v>4904</v>
      </c>
      <c r="F745" s="16">
        <v>4067</v>
      </c>
      <c r="G745" s="17" t="s">
        <v>6</v>
      </c>
      <c r="H745" s="18">
        <v>1</v>
      </c>
      <c r="I745" s="19"/>
      <c r="J745" s="19">
        <v>4953.04</v>
      </c>
      <c r="K745" s="19">
        <f t="shared" si="11"/>
        <v>49.039999999999964</v>
      </c>
      <c r="L745" s="18"/>
      <c r="M745" s="18"/>
      <c r="N745" s="18"/>
      <c r="O745" s="26" t="s">
        <v>1036</v>
      </c>
    </row>
    <row r="746" spans="1:15" ht="15" x14ac:dyDescent="0.25">
      <c r="A746">
        <v>744</v>
      </c>
      <c r="B746" s="8" t="s">
        <v>665</v>
      </c>
      <c r="C746" s="21" t="s">
        <v>1572</v>
      </c>
      <c r="D746" s="22" t="s">
        <v>5</v>
      </c>
      <c r="E746" s="15">
        <v>1409</v>
      </c>
      <c r="F746" s="23">
        <v>128</v>
      </c>
      <c r="G746" s="24" t="s">
        <v>6</v>
      </c>
      <c r="H746" s="18">
        <v>1</v>
      </c>
      <c r="I746" s="19">
        <f>VLOOKUP(B746,[1]Лист2!$A:$J,10,0)</f>
        <v>126.08</v>
      </c>
      <c r="J746" s="29">
        <v>127.3408</v>
      </c>
      <c r="K746" s="19">
        <f t="shared" si="11"/>
        <v>-1281.6592000000001</v>
      </c>
      <c r="L746" s="18"/>
      <c r="M746" s="18"/>
      <c r="N746" s="18"/>
      <c r="O746" s="26" t="s">
        <v>1036</v>
      </c>
    </row>
    <row r="747" spans="1:15" ht="15" x14ac:dyDescent="0.25">
      <c r="A747">
        <v>745</v>
      </c>
      <c r="B747" s="7" t="s">
        <v>666</v>
      </c>
      <c r="C747" s="13" t="s">
        <v>1573</v>
      </c>
      <c r="D747" s="14" t="s">
        <v>5</v>
      </c>
      <c r="E747" s="16">
        <v>1751</v>
      </c>
      <c r="F747" s="15">
        <v>2134</v>
      </c>
      <c r="G747" s="17" t="s">
        <v>6</v>
      </c>
      <c r="H747" s="18">
        <v>1</v>
      </c>
      <c r="I747" s="19"/>
      <c r="J747" s="19">
        <v>2048.64</v>
      </c>
      <c r="K747" s="19">
        <f t="shared" si="11"/>
        <v>297.63999999999987</v>
      </c>
      <c r="L747" s="18"/>
      <c r="M747" s="18"/>
      <c r="N747" s="18"/>
      <c r="O747" s="26" t="s">
        <v>1036</v>
      </c>
    </row>
    <row r="748" spans="1:15" ht="15" x14ac:dyDescent="0.25">
      <c r="A748">
        <v>746</v>
      </c>
      <c r="B748" s="8" t="s">
        <v>667</v>
      </c>
      <c r="C748" s="21" t="s">
        <v>1574</v>
      </c>
      <c r="D748" s="22" t="s">
        <v>24</v>
      </c>
      <c r="E748" s="15">
        <v>75039</v>
      </c>
      <c r="F748" s="23">
        <v>69183</v>
      </c>
      <c r="G748" s="24" t="s">
        <v>6</v>
      </c>
      <c r="H748" s="18">
        <v>1</v>
      </c>
      <c r="I748" s="19">
        <f>VLOOKUP(B748,[1]Лист2!$A:$J,10,0)</f>
        <v>70616.62</v>
      </c>
      <c r="J748" s="29">
        <v>71322.786200000002</v>
      </c>
      <c r="K748" s="19">
        <f t="shared" si="11"/>
        <v>-3716.2137999999977</v>
      </c>
      <c r="L748" s="18"/>
      <c r="M748" s="18"/>
      <c r="N748" s="18"/>
      <c r="O748" s="26" t="s">
        <v>1036</v>
      </c>
    </row>
    <row r="749" spans="1:15" ht="15" x14ac:dyDescent="0.25">
      <c r="A749">
        <v>747</v>
      </c>
      <c r="B749" s="7" t="s">
        <v>667</v>
      </c>
      <c r="C749" s="13" t="s">
        <v>1574</v>
      </c>
      <c r="D749" s="14" t="s">
        <v>24</v>
      </c>
      <c r="E749" s="15">
        <v>75039</v>
      </c>
      <c r="F749" s="16">
        <v>69183</v>
      </c>
      <c r="G749" s="17" t="s">
        <v>6</v>
      </c>
      <c r="H749" s="18">
        <v>1</v>
      </c>
      <c r="I749" s="19">
        <f>VLOOKUP(B749,[1]Лист2!$A:$J,10,0)</f>
        <v>70616.62</v>
      </c>
      <c r="J749" s="29">
        <v>71322.786200000002</v>
      </c>
      <c r="K749" s="19">
        <f t="shared" si="11"/>
        <v>-3716.2137999999977</v>
      </c>
      <c r="L749" s="18"/>
      <c r="M749" s="18"/>
      <c r="N749" s="18"/>
      <c r="O749" s="26" t="s">
        <v>1036</v>
      </c>
    </row>
    <row r="750" spans="1:15" ht="15" x14ac:dyDescent="0.25">
      <c r="A750">
        <v>748</v>
      </c>
      <c r="B750" s="8" t="s">
        <v>668</v>
      </c>
      <c r="C750" s="21" t="s">
        <v>1102</v>
      </c>
      <c r="D750" s="22" t="s">
        <v>8</v>
      </c>
      <c r="E750" s="23">
        <v>1241</v>
      </c>
      <c r="F750" s="15">
        <v>1325</v>
      </c>
      <c r="G750" s="24" t="s">
        <v>6</v>
      </c>
      <c r="H750" s="18">
        <v>1</v>
      </c>
      <c r="I750" s="19"/>
      <c r="J750" s="19">
        <v>1272</v>
      </c>
      <c r="K750" s="19">
        <f t="shared" si="11"/>
        <v>31</v>
      </c>
      <c r="L750" s="18"/>
      <c r="M750" s="18"/>
      <c r="N750" s="18"/>
      <c r="O750" s="26" t="s">
        <v>1036</v>
      </c>
    </row>
    <row r="751" spans="1:15" ht="15" x14ac:dyDescent="0.25">
      <c r="A751">
        <v>749</v>
      </c>
      <c r="B751" s="7" t="s">
        <v>669</v>
      </c>
      <c r="C751" s="13" t="s">
        <v>1575</v>
      </c>
      <c r="D751" s="14" t="s">
        <v>8</v>
      </c>
      <c r="E751" s="16">
        <v>27743</v>
      </c>
      <c r="F751" s="15">
        <v>32541</v>
      </c>
      <c r="G751" s="17" t="s">
        <v>6</v>
      </c>
      <c r="H751" s="18">
        <v>1</v>
      </c>
      <c r="I751" s="19"/>
      <c r="J751" s="19">
        <v>30050</v>
      </c>
      <c r="K751" s="19">
        <f t="shared" si="11"/>
        <v>2307</v>
      </c>
      <c r="L751" s="18"/>
      <c r="M751" s="18"/>
      <c r="N751" s="18"/>
      <c r="O751" s="26" t="s">
        <v>1036</v>
      </c>
    </row>
    <row r="752" spans="1:15" ht="15" x14ac:dyDescent="0.25">
      <c r="A752">
        <v>750</v>
      </c>
      <c r="B752" s="8" t="s">
        <v>670</v>
      </c>
      <c r="C752" s="21" t="s">
        <v>1576</v>
      </c>
      <c r="D752" s="22" t="s">
        <v>24</v>
      </c>
      <c r="E752" s="23">
        <v>17721</v>
      </c>
      <c r="F752" s="15">
        <v>23622</v>
      </c>
      <c r="G752" s="24" t="s">
        <v>6</v>
      </c>
      <c r="H752" s="18">
        <v>1</v>
      </c>
      <c r="I752" s="19"/>
      <c r="J752" s="19">
        <v>20622</v>
      </c>
      <c r="K752" s="19">
        <f t="shared" si="11"/>
        <v>2901</v>
      </c>
      <c r="L752" s="18"/>
      <c r="M752" s="18"/>
      <c r="N752" s="18"/>
      <c r="O752" s="26" t="s">
        <v>1036</v>
      </c>
    </row>
    <row r="753" spans="1:15" ht="15" x14ac:dyDescent="0.25">
      <c r="A753">
        <v>751</v>
      </c>
      <c r="B753" s="7" t="s">
        <v>671</v>
      </c>
      <c r="C753" s="13" t="s">
        <v>1577</v>
      </c>
      <c r="D753" s="14" t="s">
        <v>24</v>
      </c>
      <c r="E753" s="16">
        <v>4315</v>
      </c>
      <c r="F753" s="15">
        <v>5759</v>
      </c>
      <c r="G753" s="17" t="s">
        <v>6</v>
      </c>
      <c r="H753" s="18">
        <v>1</v>
      </c>
      <c r="I753" s="19"/>
      <c r="J753" s="19">
        <v>5528.6399999999994</v>
      </c>
      <c r="K753" s="19">
        <f t="shared" si="11"/>
        <v>1213.6399999999994</v>
      </c>
      <c r="L753" s="18"/>
      <c r="M753" s="18"/>
      <c r="N753" s="18"/>
      <c r="O753" s="26" t="s">
        <v>1036</v>
      </c>
    </row>
    <row r="754" spans="1:15" ht="15" x14ac:dyDescent="0.25">
      <c r="A754">
        <v>752</v>
      </c>
      <c r="B754" s="8" t="s">
        <v>672</v>
      </c>
      <c r="C754" s="21" t="s">
        <v>1578</v>
      </c>
      <c r="D754" s="22" t="s">
        <v>24</v>
      </c>
      <c r="E754" s="15">
        <v>12504</v>
      </c>
      <c r="F754" s="23">
        <v>695.24</v>
      </c>
      <c r="G754" s="24" t="s">
        <v>78</v>
      </c>
      <c r="H754" s="18">
        <v>1</v>
      </c>
      <c r="I754" s="19"/>
      <c r="J754" s="19">
        <v>12629.04</v>
      </c>
      <c r="K754" s="19">
        <f t="shared" si="11"/>
        <v>125.04000000000087</v>
      </c>
      <c r="L754" s="18"/>
      <c r="M754" s="18"/>
      <c r="N754" s="18"/>
      <c r="O754" s="26" t="s">
        <v>1036</v>
      </c>
    </row>
    <row r="755" spans="1:15" ht="15" x14ac:dyDescent="0.25">
      <c r="A755">
        <v>753</v>
      </c>
      <c r="B755" s="7" t="s">
        <v>673</v>
      </c>
      <c r="C755" s="13" t="s">
        <v>1579</v>
      </c>
      <c r="D755" s="14" t="s">
        <v>24</v>
      </c>
      <c r="E755" s="16">
        <v>9360</v>
      </c>
      <c r="F755" s="15">
        <v>12481</v>
      </c>
      <c r="G755" s="17" t="s">
        <v>6</v>
      </c>
      <c r="H755" s="18">
        <v>1</v>
      </c>
      <c r="I755" s="19"/>
      <c r="J755" s="19">
        <v>11981.76</v>
      </c>
      <c r="K755" s="19">
        <f t="shared" si="11"/>
        <v>2621.76</v>
      </c>
      <c r="L755" s="18"/>
      <c r="M755" s="18"/>
      <c r="N755" s="18"/>
      <c r="O755" s="26" t="s">
        <v>1036</v>
      </c>
    </row>
    <row r="756" spans="1:15" ht="15" x14ac:dyDescent="0.25">
      <c r="A756">
        <v>754</v>
      </c>
      <c r="B756" s="8" t="s">
        <v>674</v>
      </c>
      <c r="C756" s="21" t="s">
        <v>1580</v>
      </c>
      <c r="D756" s="22" t="s">
        <v>24</v>
      </c>
      <c r="E756" s="15">
        <v>4367</v>
      </c>
      <c r="F756" s="23">
        <v>1953</v>
      </c>
      <c r="G756" s="24" t="s">
        <v>6</v>
      </c>
      <c r="H756" s="18">
        <v>1</v>
      </c>
      <c r="I756" s="19">
        <f>VLOOKUP(B756,[1]Лист2!$A:$J,10,0)</f>
        <v>405.82</v>
      </c>
      <c r="J756" s="19">
        <v>1874.8799999999999</v>
      </c>
      <c r="K756" s="19">
        <f t="shared" si="11"/>
        <v>-2492.12</v>
      </c>
      <c r="L756" s="18"/>
      <c r="M756" s="18"/>
      <c r="N756" s="18"/>
      <c r="O756" s="26" t="s">
        <v>1036</v>
      </c>
    </row>
    <row r="757" spans="1:15" ht="15" x14ac:dyDescent="0.25">
      <c r="A757">
        <v>755</v>
      </c>
      <c r="B757" s="7" t="s">
        <v>675</v>
      </c>
      <c r="C757" s="13" t="s">
        <v>1319</v>
      </c>
      <c r="D757" s="14" t="s">
        <v>24</v>
      </c>
      <c r="E757" s="16">
        <v>3076</v>
      </c>
      <c r="F757" s="15">
        <v>4927</v>
      </c>
      <c r="G757" s="17" t="s">
        <v>6</v>
      </c>
      <c r="H757" s="18">
        <v>1</v>
      </c>
      <c r="I757" s="19"/>
      <c r="J757" s="19">
        <v>4729.92</v>
      </c>
      <c r="K757" s="19">
        <f t="shared" si="11"/>
        <v>1653.92</v>
      </c>
      <c r="L757" s="18"/>
      <c r="M757" s="18"/>
      <c r="N757" s="18"/>
      <c r="O757" s="26" t="s">
        <v>1036</v>
      </c>
    </row>
    <row r="758" spans="1:15" ht="15" x14ac:dyDescent="0.25">
      <c r="A758">
        <v>756</v>
      </c>
      <c r="B758" s="8" t="s">
        <v>676</v>
      </c>
      <c r="C758" s="21" t="s">
        <v>1581</v>
      </c>
      <c r="D758" s="22" t="s">
        <v>16</v>
      </c>
      <c r="E758" s="23">
        <v>39861</v>
      </c>
      <c r="F758" s="15">
        <v>41726</v>
      </c>
      <c r="G758" s="24" t="s">
        <v>6</v>
      </c>
      <c r="H758" s="18">
        <v>1</v>
      </c>
      <c r="I758" s="19">
        <f>VLOOKUP(B758,[1]Лист2!$A:$J,10,0)</f>
        <v>38129.35</v>
      </c>
      <c r="J758" s="19">
        <v>40056.959999999999</v>
      </c>
      <c r="K758" s="19">
        <f t="shared" si="11"/>
        <v>195.95999999999913</v>
      </c>
      <c r="L758" s="18"/>
      <c r="M758" s="18"/>
      <c r="N758" s="18"/>
      <c r="O758" s="26" t="s">
        <v>1036</v>
      </c>
    </row>
    <row r="759" spans="1:15" ht="15" x14ac:dyDescent="0.25">
      <c r="A759">
        <v>757</v>
      </c>
      <c r="B759" s="7" t="s">
        <v>677</v>
      </c>
      <c r="C759" s="13" t="s">
        <v>1582</v>
      </c>
      <c r="D759" s="14" t="s">
        <v>24</v>
      </c>
      <c r="E759" s="15">
        <v>1184</v>
      </c>
      <c r="F759" s="16">
        <v>870.82</v>
      </c>
      <c r="G759" s="17" t="s">
        <v>78</v>
      </c>
      <c r="H759" s="18">
        <v>1</v>
      </c>
      <c r="I759" s="19"/>
      <c r="J759" s="19">
        <v>1195.8399999999999</v>
      </c>
      <c r="K759" s="19">
        <f t="shared" si="11"/>
        <v>11.839999999999918</v>
      </c>
      <c r="L759" s="18"/>
      <c r="M759" s="18"/>
      <c r="N759" s="18"/>
      <c r="O759" s="26" t="s">
        <v>1036</v>
      </c>
    </row>
    <row r="760" spans="1:15" ht="15" x14ac:dyDescent="0.25">
      <c r="A760">
        <v>758</v>
      </c>
      <c r="B760" s="8" t="s">
        <v>678</v>
      </c>
      <c r="C760" s="21" t="s">
        <v>1583</v>
      </c>
      <c r="D760" s="22" t="s">
        <v>24</v>
      </c>
      <c r="E760" s="15">
        <v>20021</v>
      </c>
      <c r="F760" s="23">
        <v>13585</v>
      </c>
      <c r="G760" s="24" t="s">
        <v>6</v>
      </c>
      <c r="H760" s="18">
        <v>1</v>
      </c>
      <c r="I760" s="19"/>
      <c r="J760" s="19">
        <v>20221.21</v>
      </c>
      <c r="K760" s="19">
        <f t="shared" si="11"/>
        <v>200.20999999999913</v>
      </c>
      <c r="L760" s="18"/>
      <c r="M760" s="18"/>
      <c r="N760" s="18"/>
      <c r="O760" s="26" t="s">
        <v>1036</v>
      </c>
    </row>
    <row r="761" spans="1:15" ht="15" x14ac:dyDescent="0.25">
      <c r="A761">
        <v>759</v>
      </c>
      <c r="B761" s="7" t="s">
        <v>679</v>
      </c>
      <c r="C761" s="13" t="s">
        <v>1450</v>
      </c>
      <c r="D761" s="14" t="s">
        <v>407</v>
      </c>
      <c r="E761" s="16">
        <v>4836</v>
      </c>
      <c r="F761" s="15">
        <v>6410.88</v>
      </c>
      <c r="G761" s="17" t="s">
        <v>78</v>
      </c>
      <c r="H761" s="18">
        <v>1</v>
      </c>
      <c r="I761" s="19"/>
      <c r="J761" s="19">
        <v>6154.4448000000002</v>
      </c>
      <c r="K761" s="19">
        <f t="shared" si="11"/>
        <v>1318.4448000000002</v>
      </c>
      <c r="L761" s="18"/>
      <c r="M761" s="18"/>
      <c r="N761" s="18"/>
      <c r="O761" s="26" t="s">
        <v>1036</v>
      </c>
    </row>
    <row r="762" spans="1:15" ht="15" x14ac:dyDescent="0.25">
      <c r="A762">
        <v>760</v>
      </c>
      <c r="B762" s="8" t="s">
        <v>680</v>
      </c>
      <c r="C762" s="21" t="s">
        <v>1584</v>
      </c>
      <c r="D762" s="22" t="s">
        <v>8</v>
      </c>
      <c r="E762" s="23">
        <v>5249</v>
      </c>
      <c r="F762" s="15">
        <v>6164</v>
      </c>
      <c r="G762" s="24" t="s">
        <v>6</v>
      </c>
      <c r="H762" s="18">
        <v>1</v>
      </c>
      <c r="I762" s="19"/>
      <c r="J762" s="19">
        <v>5917.44</v>
      </c>
      <c r="K762" s="19">
        <f t="shared" si="11"/>
        <v>668.4399999999996</v>
      </c>
      <c r="L762" s="18"/>
      <c r="M762" s="18"/>
      <c r="N762" s="18"/>
      <c r="O762" s="26" t="s">
        <v>1036</v>
      </c>
    </row>
    <row r="763" spans="1:15" ht="15" x14ac:dyDescent="0.25">
      <c r="A763">
        <v>761</v>
      </c>
      <c r="B763" s="7" t="s">
        <v>681</v>
      </c>
      <c r="C763" s="13" t="s">
        <v>1585</v>
      </c>
      <c r="D763" s="14" t="s">
        <v>8</v>
      </c>
      <c r="E763" s="16">
        <v>88135</v>
      </c>
      <c r="F763" s="15">
        <v>103357</v>
      </c>
      <c r="G763" s="17" t="s">
        <v>6</v>
      </c>
      <c r="H763" s="18">
        <v>1</v>
      </c>
      <c r="I763" s="19"/>
      <c r="J763" s="19">
        <v>95222.720000000001</v>
      </c>
      <c r="K763" s="19">
        <f t="shared" si="11"/>
        <v>7087.7200000000012</v>
      </c>
      <c r="L763" s="18"/>
      <c r="M763" s="18"/>
      <c r="N763" s="18"/>
      <c r="O763" s="26" t="s">
        <v>1036</v>
      </c>
    </row>
    <row r="764" spans="1:15" ht="15" x14ac:dyDescent="0.25">
      <c r="A764">
        <v>762</v>
      </c>
      <c r="B764" s="8" t="s">
        <v>682</v>
      </c>
      <c r="C764" s="21" t="s">
        <v>1586</v>
      </c>
      <c r="D764" s="22" t="s">
        <v>8</v>
      </c>
      <c r="E764" s="23">
        <v>2857</v>
      </c>
      <c r="F764" s="15">
        <v>3359</v>
      </c>
      <c r="G764" s="24" t="s">
        <v>6</v>
      </c>
      <c r="H764" s="18">
        <v>1</v>
      </c>
      <c r="I764" s="19"/>
      <c r="J764" s="19">
        <v>3224.64</v>
      </c>
      <c r="K764" s="19">
        <f t="shared" si="11"/>
        <v>367.63999999999987</v>
      </c>
      <c r="L764" s="18"/>
      <c r="M764" s="18"/>
      <c r="N764" s="18"/>
      <c r="O764" s="26" t="s">
        <v>1036</v>
      </c>
    </row>
    <row r="765" spans="1:15" ht="15" x14ac:dyDescent="0.25">
      <c r="A765">
        <v>763</v>
      </c>
      <c r="B765" s="7" t="s">
        <v>683</v>
      </c>
      <c r="C765" s="13" t="s">
        <v>1587</v>
      </c>
      <c r="D765" s="14" t="s">
        <v>8</v>
      </c>
      <c r="E765" s="16">
        <v>2662</v>
      </c>
      <c r="F765" s="15">
        <v>3130</v>
      </c>
      <c r="G765" s="17" t="s">
        <v>6</v>
      </c>
      <c r="H765" s="18">
        <v>1</v>
      </c>
      <c r="I765" s="19">
        <f>VLOOKUP(B765,[1]Лист2!$A:$J,10,0)</f>
        <v>1082.5149999999999</v>
      </c>
      <c r="J765" s="19">
        <v>3004.7999999999997</v>
      </c>
      <c r="K765" s="19">
        <f t="shared" si="11"/>
        <v>342.79999999999973</v>
      </c>
      <c r="L765" s="18"/>
      <c r="M765" s="18"/>
      <c r="N765" s="18"/>
      <c r="O765" s="26" t="s">
        <v>1036</v>
      </c>
    </row>
    <row r="766" spans="1:15" ht="15" x14ac:dyDescent="0.25">
      <c r="A766">
        <v>764</v>
      </c>
      <c r="B766" s="8" t="s">
        <v>684</v>
      </c>
      <c r="C766" s="21" t="s">
        <v>1588</v>
      </c>
      <c r="D766" s="22" t="s">
        <v>8</v>
      </c>
      <c r="E766" s="23">
        <v>7107</v>
      </c>
      <c r="F766" s="15">
        <v>8343</v>
      </c>
      <c r="G766" s="24" t="s">
        <v>6</v>
      </c>
      <c r="H766" s="18">
        <v>1</v>
      </c>
      <c r="I766" s="19"/>
      <c r="J766" s="19">
        <v>8009.28</v>
      </c>
      <c r="K766" s="19">
        <f t="shared" si="11"/>
        <v>902.27999999999975</v>
      </c>
      <c r="L766" s="18"/>
      <c r="M766" s="18"/>
      <c r="N766" s="18"/>
      <c r="O766" s="26" t="s">
        <v>1036</v>
      </c>
    </row>
    <row r="767" spans="1:15" ht="15" x14ac:dyDescent="0.25">
      <c r="A767">
        <v>765</v>
      </c>
      <c r="B767" s="7" t="s">
        <v>685</v>
      </c>
      <c r="C767" s="13" t="s">
        <v>1589</v>
      </c>
      <c r="D767" s="14" t="s">
        <v>8</v>
      </c>
      <c r="E767" s="16">
        <v>16356</v>
      </c>
      <c r="F767" s="15">
        <v>19188</v>
      </c>
      <c r="G767" s="17" t="s">
        <v>6</v>
      </c>
      <c r="H767" s="18">
        <v>1</v>
      </c>
      <c r="I767" s="19"/>
      <c r="J767" s="19">
        <v>18420.48</v>
      </c>
      <c r="K767" s="19">
        <f t="shared" si="11"/>
        <v>2064.4799999999996</v>
      </c>
      <c r="L767" s="18"/>
      <c r="M767" s="18"/>
      <c r="N767" s="18"/>
      <c r="O767" s="26" t="s">
        <v>1036</v>
      </c>
    </row>
    <row r="768" spans="1:15" ht="15" x14ac:dyDescent="0.25">
      <c r="A768">
        <v>766</v>
      </c>
      <c r="B768" s="8" t="s">
        <v>686</v>
      </c>
      <c r="C768" s="21" t="s">
        <v>1590</v>
      </c>
      <c r="D768" s="22" t="s">
        <v>8</v>
      </c>
      <c r="E768" s="23">
        <v>42378</v>
      </c>
      <c r="F768" s="15">
        <v>49700</v>
      </c>
      <c r="G768" s="24" t="s">
        <v>6</v>
      </c>
      <c r="H768" s="18">
        <v>1</v>
      </c>
      <c r="I768" s="19"/>
      <c r="J768" s="19">
        <v>45712</v>
      </c>
      <c r="K768" s="19">
        <f t="shared" si="11"/>
        <v>3334</v>
      </c>
      <c r="L768" s="18"/>
      <c r="M768" s="18"/>
      <c r="N768" s="18"/>
      <c r="O768" s="26" t="s">
        <v>1036</v>
      </c>
    </row>
    <row r="769" spans="1:15" ht="15" x14ac:dyDescent="0.25">
      <c r="A769">
        <v>767</v>
      </c>
      <c r="B769" s="7" t="s">
        <v>687</v>
      </c>
      <c r="C769" s="13" t="s">
        <v>1591</v>
      </c>
      <c r="D769" s="14" t="s">
        <v>8</v>
      </c>
      <c r="E769" s="16">
        <v>2620</v>
      </c>
      <c r="F769" s="15">
        <v>3081</v>
      </c>
      <c r="G769" s="17" t="s">
        <v>6</v>
      </c>
      <c r="H769" s="18">
        <v>1</v>
      </c>
      <c r="I769" s="19"/>
      <c r="J769" s="19">
        <v>2957.7599999999998</v>
      </c>
      <c r="K769" s="19">
        <f t="shared" si="11"/>
        <v>337.75999999999976</v>
      </c>
      <c r="L769" s="18"/>
      <c r="M769" s="18"/>
      <c r="N769" s="18"/>
      <c r="O769" s="26" t="s">
        <v>1036</v>
      </c>
    </row>
    <row r="770" spans="1:15" ht="15" x14ac:dyDescent="0.25">
      <c r="A770">
        <v>768</v>
      </c>
      <c r="B770" s="8" t="s">
        <v>688</v>
      </c>
      <c r="C770" s="21" t="s">
        <v>1592</v>
      </c>
      <c r="D770" s="22" t="s">
        <v>24</v>
      </c>
      <c r="E770" s="15">
        <v>79587</v>
      </c>
      <c r="F770" s="23">
        <v>65074.559999999998</v>
      </c>
      <c r="G770" s="24" t="s">
        <v>78</v>
      </c>
      <c r="H770" s="18">
        <v>5</v>
      </c>
      <c r="I770" s="19">
        <f>VLOOKUP(B770,[1]Лист2!$A:$J,10,0)</f>
        <v>75236.27</v>
      </c>
      <c r="J770" s="29">
        <v>75988.632700000002</v>
      </c>
      <c r="K770" s="19">
        <f t="shared" si="11"/>
        <v>-3598.3672999999981</v>
      </c>
      <c r="L770" s="18"/>
      <c r="M770" s="18"/>
      <c r="N770" s="18"/>
      <c r="O770" s="26" t="s">
        <v>1036</v>
      </c>
    </row>
    <row r="771" spans="1:15" ht="15" x14ac:dyDescent="0.25">
      <c r="A771">
        <v>769</v>
      </c>
      <c r="B771" s="7" t="s">
        <v>689</v>
      </c>
      <c r="C771" s="13" t="s">
        <v>1593</v>
      </c>
      <c r="D771" s="14" t="s">
        <v>24</v>
      </c>
      <c r="E771" s="15">
        <v>7861</v>
      </c>
      <c r="F771" s="16">
        <v>652</v>
      </c>
      <c r="G771" s="17" t="s">
        <v>6</v>
      </c>
      <c r="H771" s="18">
        <v>1</v>
      </c>
      <c r="I771" s="19">
        <f>VLOOKUP(B771,[1]Лист2!$A:$J,10,0)</f>
        <v>791.93999999999994</v>
      </c>
      <c r="J771" s="29">
        <v>3590</v>
      </c>
      <c r="K771" s="19">
        <f t="shared" ref="K771:K834" si="12">J771-E771</f>
        <v>-4271</v>
      </c>
      <c r="L771" s="18"/>
      <c r="M771" s="18"/>
      <c r="N771" s="18"/>
      <c r="O771" s="26" t="s">
        <v>1036</v>
      </c>
    </row>
    <row r="772" spans="1:15" ht="15" x14ac:dyDescent="0.25">
      <c r="A772">
        <v>770</v>
      </c>
      <c r="B772" s="8" t="s">
        <v>690</v>
      </c>
      <c r="C772" s="21" t="s">
        <v>1594</v>
      </c>
      <c r="D772" s="22" t="s">
        <v>24</v>
      </c>
      <c r="E772" s="15">
        <v>13685</v>
      </c>
      <c r="F772" s="23">
        <v>2632</v>
      </c>
      <c r="G772" s="24" t="s">
        <v>6</v>
      </c>
      <c r="H772" s="18">
        <v>1</v>
      </c>
      <c r="I772" s="19">
        <f>VLOOKUP(B772,[1]Лист2!$A:$J,10,0)</f>
        <v>2658.5149999999999</v>
      </c>
      <c r="J772" s="29">
        <v>7350</v>
      </c>
      <c r="K772" s="19">
        <f t="shared" si="12"/>
        <v>-6335</v>
      </c>
      <c r="L772" s="18"/>
      <c r="M772" s="18"/>
      <c r="N772" s="18"/>
      <c r="O772" s="26" t="s">
        <v>1036</v>
      </c>
    </row>
    <row r="773" spans="1:15" ht="15" x14ac:dyDescent="0.25">
      <c r="A773">
        <v>771</v>
      </c>
      <c r="B773" s="7" t="s">
        <v>691</v>
      </c>
      <c r="C773" s="13" t="s">
        <v>1595</v>
      </c>
      <c r="D773" s="14" t="s">
        <v>24</v>
      </c>
      <c r="E773" s="15">
        <v>16521</v>
      </c>
      <c r="F773" s="16">
        <v>9678</v>
      </c>
      <c r="G773" s="17" t="s">
        <v>6</v>
      </c>
      <c r="H773" s="18">
        <v>4</v>
      </c>
      <c r="I773" s="19">
        <f>VLOOKUP(B773,[1]Лист2!$A:$J,10,0)</f>
        <v>10267.64</v>
      </c>
      <c r="J773" s="29">
        <v>10370.3164</v>
      </c>
      <c r="K773" s="19">
        <f t="shared" si="12"/>
        <v>-6150.6836000000003</v>
      </c>
      <c r="L773" s="18"/>
      <c r="M773" s="18"/>
      <c r="N773" s="18"/>
      <c r="O773" s="26" t="s">
        <v>1036</v>
      </c>
    </row>
    <row r="774" spans="1:15" ht="15" x14ac:dyDescent="0.25">
      <c r="A774">
        <v>772</v>
      </c>
      <c r="B774" s="8" t="s">
        <v>692</v>
      </c>
      <c r="C774" s="21" t="s">
        <v>1596</v>
      </c>
      <c r="D774" s="22" t="s">
        <v>24</v>
      </c>
      <c r="E774" s="23">
        <v>2833</v>
      </c>
      <c r="F774" s="15">
        <v>3784</v>
      </c>
      <c r="G774" s="24" t="s">
        <v>6</v>
      </c>
      <c r="H774" s="18">
        <v>1</v>
      </c>
      <c r="I774" s="19"/>
      <c r="J774" s="19">
        <v>3632.64</v>
      </c>
      <c r="K774" s="19">
        <f t="shared" si="12"/>
        <v>799.63999999999987</v>
      </c>
      <c r="L774" s="18"/>
      <c r="M774" s="18"/>
      <c r="N774" s="18"/>
      <c r="O774" s="26" t="s">
        <v>1036</v>
      </c>
    </row>
    <row r="775" spans="1:15" ht="15" x14ac:dyDescent="0.25">
      <c r="A775">
        <v>773</v>
      </c>
      <c r="B775" s="7" t="s">
        <v>693</v>
      </c>
      <c r="C775" s="13" t="s">
        <v>1597</v>
      </c>
      <c r="D775" s="14" t="s">
        <v>24</v>
      </c>
      <c r="E775" s="15">
        <v>10837</v>
      </c>
      <c r="F775" s="16">
        <v>772.97</v>
      </c>
      <c r="G775" s="17" t="s">
        <v>9</v>
      </c>
      <c r="H775" s="18">
        <v>1</v>
      </c>
      <c r="I775" s="19">
        <f>VLOOKUP(B775,[1]Лист2!$A:$J,10,0)</f>
        <v>1604.5650000000001</v>
      </c>
      <c r="J775" s="29">
        <v>3860</v>
      </c>
      <c r="K775" s="19">
        <f t="shared" si="12"/>
        <v>-6977</v>
      </c>
      <c r="L775" s="18"/>
      <c r="M775" s="18"/>
      <c r="N775" s="18"/>
      <c r="O775" s="26" t="s">
        <v>1036</v>
      </c>
    </row>
    <row r="776" spans="1:15" ht="15" x14ac:dyDescent="0.25">
      <c r="A776">
        <v>774</v>
      </c>
      <c r="B776" s="8" t="s">
        <v>694</v>
      </c>
      <c r="C776" s="21" t="s">
        <v>1598</v>
      </c>
      <c r="D776" s="22" t="s">
        <v>24</v>
      </c>
      <c r="E776" s="15">
        <v>3348</v>
      </c>
      <c r="F776" s="23">
        <v>804</v>
      </c>
      <c r="G776" s="24" t="s">
        <v>6</v>
      </c>
      <c r="H776" s="18">
        <v>1</v>
      </c>
      <c r="I776" s="19">
        <f>VLOOKUP(B776,[1]Лист2!$A:$J,10,0)</f>
        <v>804.745</v>
      </c>
      <c r="J776" s="29">
        <v>1450</v>
      </c>
      <c r="K776" s="19">
        <f t="shared" si="12"/>
        <v>-1898</v>
      </c>
      <c r="L776" s="18"/>
      <c r="M776" s="18"/>
      <c r="N776" s="18"/>
      <c r="O776" s="26" t="s">
        <v>1036</v>
      </c>
    </row>
    <row r="777" spans="1:15" ht="15" x14ac:dyDescent="0.25">
      <c r="A777">
        <v>775</v>
      </c>
      <c r="B777" s="7" t="s">
        <v>694</v>
      </c>
      <c r="C777" s="13" t="s">
        <v>1598</v>
      </c>
      <c r="D777" s="14" t="s">
        <v>24</v>
      </c>
      <c r="E777" s="15">
        <v>3348</v>
      </c>
      <c r="F777" s="16">
        <v>804</v>
      </c>
      <c r="G777" s="17" t="s">
        <v>6</v>
      </c>
      <c r="H777" s="18">
        <v>1</v>
      </c>
      <c r="I777" s="19">
        <f>VLOOKUP(B777,[1]Лист2!$A:$J,10,0)</f>
        <v>804.745</v>
      </c>
      <c r="J777" s="29">
        <v>1450</v>
      </c>
      <c r="K777" s="19">
        <f t="shared" si="12"/>
        <v>-1898</v>
      </c>
      <c r="L777" s="18"/>
      <c r="M777" s="18"/>
      <c r="N777" s="18"/>
      <c r="O777" s="26" t="s">
        <v>1036</v>
      </c>
    </row>
    <row r="778" spans="1:15" ht="15" x14ac:dyDescent="0.25">
      <c r="A778">
        <v>776</v>
      </c>
      <c r="B778" s="8" t="s">
        <v>695</v>
      </c>
      <c r="C778" s="21" t="s">
        <v>1599</v>
      </c>
      <c r="D778" s="22" t="s">
        <v>24</v>
      </c>
      <c r="E778" s="23">
        <v>14221</v>
      </c>
      <c r="F778" s="15">
        <v>14993</v>
      </c>
      <c r="G778" s="24" t="s">
        <v>6</v>
      </c>
      <c r="H778" s="18">
        <v>1</v>
      </c>
      <c r="I778" s="19">
        <f>VLOOKUP(B778,[1]Лист2!$A:$J,10,0)</f>
        <v>4495.54</v>
      </c>
      <c r="J778" s="19">
        <v>14393.279999999999</v>
      </c>
      <c r="K778" s="19">
        <f t="shared" si="12"/>
        <v>172.27999999999884</v>
      </c>
      <c r="L778" s="18"/>
      <c r="M778" s="18"/>
      <c r="N778" s="18"/>
      <c r="O778" s="26" t="s">
        <v>1036</v>
      </c>
    </row>
    <row r="779" spans="1:15" ht="15" x14ac:dyDescent="0.25">
      <c r="A779">
        <v>777</v>
      </c>
      <c r="B779" s="7" t="s">
        <v>696</v>
      </c>
      <c r="C779" s="13" t="s">
        <v>1600</v>
      </c>
      <c r="D779" s="14" t="s">
        <v>8</v>
      </c>
      <c r="E779" s="15">
        <v>52801</v>
      </c>
      <c r="F779" s="16">
        <v>43936</v>
      </c>
      <c r="G779" s="17" t="s">
        <v>6</v>
      </c>
      <c r="H779" s="18">
        <v>1</v>
      </c>
      <c r="I779" s="19">
        <f>VLOOKUP(B779,[1]Лист2!$A:$J,10,0)</f>
        <v>11277.264999999999</v>
      </c>
      <c r="J779" s="19">
        <v>42178.559999999998</v>
      </c>
      <c r="K779" s="19">
        <f t="shared" si="12"/>
        <v>-10622.440000000002</v>
      </c>
      <c r="L779" s="18"/>
      <c r="M779" s="18"/>
      <c r="N779" s="18"/>
      <c r="O779" s="26" t="s">
        <v>1036</v>
      </c>
    </row>
    <row r="780" spans="1:15" ht="15" x14ac:dyDescent="0.25">
      <c r="A780">
        <v>778</v>
      </c>
      <c r="B780" s="8" t="s">
        <v>697</v>
      </c>
      <c r="C780" s="21" t="s">
        <v>1601</v>
      </c>
      <c r="D780" s="22" t="s">
        <v>8</v>
      </c>
      <c r="E780" s="23">
        <v>20572</v>
      </c>
      <c r="F780" s="15">
        <v>24131</v>
      </c>
      <c r="G780" s="24" t="s">
        <v>6</v>
      </c>
      <c r="H780" s="18">
        <v>1</v>
      </c>
      <c r="I780" s="19"/>
      <c r="J780" s="19">
        <v>23165.759999999998</v>
      </c>
      <c r="K780" s="19">
        <f t="shared" si="12"/>
        <v>2593.7599999999984</v>
      </c>
      <c r="L780" s="18"/>
      <c r="M780" s="18"/>
      <c r="N780" s="18"/>
      <c r="O780" s="26" t="s">
        <v>1036</v>
      </c>
    </row>
    <row r="781" spans="1:15" ht="15" x14ac:dyDescent="0.25">
      <c r="A781">
        <v>779</v>
      </c>
      <c r="B781" s="7" t="s">
        <v>698</v>
      </c>
      <c r="C781" s="13" t="s">
        <v>1602</v>
      </c>
      <c r="D781" s="14" t="s">
        <v>8</v>
      </c>
      <c r="E781" s="16">
        <v>4323</v>
      </c>
      <c r="F781" s="15">
        <v>6091</v>
      </c>
      <c r="G781" s="17" t="s">
        <v>6</v>
      </c>
      <c r="H781" s="18">
        <v>1</v>
      </c>
      <c r="I781" s="19"/>
      <c r="J781" s="19">
        <v>5847.36</v>
      </c>
      <c r="K781" s="19">
        <f t="shared" si="12"/>
        <v>1524.3599999999997</v>
      </c>
      <c r="L781" s="18"/>
      <c r="M781" s="18"/>
      <c r="N781" s="18"/>
      <c r="O781" s="26" t="s">
        <v>1036</v>
      </c>
    </row>
    <row r="782" spans="1:15" ht="15" x14ac:dyDescent="0.25">
      <c r="A782">
        <v>780</v>
      </c>
      <c r="B782" s="8" t="s">
        <v>699</v>
      </c>
      <c r="C782" s="21" t="s">
        <v>1603</v>
      </c>
      <c r="D782" s="22" t="s">
        <v>16</v>
      </c>
      <c r="E782" s="23">
        <v>9042</v>
      </c>
      <c r="F782" s="15">
        <v>11094</v>
      </c>
      <c r="G782" s="24" t="s">
        <v>6</v>
      </c>
      <c r="H782" s="18">
        <v>1</v>
      </c>
      <c r="I782" s="19"/>
      <c r="J782" s="19">
        <v>10650.24</v>
      </c>
      <c r="K782" s="19">
        <f t="shared" si="12"/>
        <v>1608.2399999999998</v>
      </c>
      <c r="L782" s="18"/>
      <c r="M782" s="18"/>
      <c r="N782" s="18"/>
      <c r="O782" s="26" t="s">
        <v>1036</v>
      </c>
    </row>
    <row r="783" spans="1:15" ht="15" x14ac:dyDescent="0.25">
      <c r="A783">
        <v>781</v>
      </c>
      <c r="B783" s="7" t="s">
        <v>700</v>
      </c>
      <c r="C783" s="13" t="s">
        <v>1490</v>
      </c>
      <c r="D783" s="14" t="s">
        <v>5</v>
      </c>
      <c r="E783" s="15">
        <v>22412</v>
      </c>
      <c r="F783" s="16">
        <v>7450</v>
      </c>
      <c r="G783" s="17" t="s">
        <v>6</v>
      </c>
      <c r="H783" s="18">
        <v>1</v>
      </c>
      <c r="I783" s="19">
        <f>VLOOKUP(B783,[1]Лист2!$A:$J,10,0)</f>
        <v>12800.075000000001</v>
      </c>
      <c r="J783" s="29">
        <v>12928.07575</v>
      </c>
      <c r="K783" s="19">
        <f t="shared" si="12"/>
        <v>-9483.92425</v>
      </c>
      <c r="L783" s="18"/>
      <c r="M783" s="18"/>
      <c r="N783" s="18"/>
      <c r="O783" s="26" t="s">
        <v>1036</v>
      </c>
    </row>
    <row r="784" spans="1:15" ht="15" x14ac:dyDescent="0.25">
      <c r="A784">
        <v>782</v>
      </c>
      <c r="B784" s="8" t="s">
        <v>701</v>
      </c>
      <c r="C784" s="21" t="s">
        <v>1604</v>
      </c>
      <c r="D784" s="22" t="s">
        <v>5</v>
      </c>
      <c r="E784" s="15">
        <v>15246</v>
      </c>
      <c r="F784" s="23">
        <v>10507</v>
      </c>
      <c r="G784" s="24" t="s">
        <v>6</v>
      </c>
      <c r="H784" s="18">
        <v>1</v>
      </c>
      <c r="I784" s="19">
        <f>VLOOKUP(B784,[1]Лист2!$A:$J,10,0)</f>
        <v>10641.94</v>
      </c>
      <c r="J784" s="29">
        <v>10748.359400000001</v>
      </c>
      <c r="K784" s="19">
        <f t="shared" si="12"/>
        <v>-4497.6405999999988</v>
      </c>
      <c r="L784" s="18"/>
      <c r="M784" s="18"/>
      <c r="N784" s="18"/>
      <c r="O784" s="26" t="s">
        <v>1036</v>
      </c>
    </row>
    <row r="785" spans="1:15" ht="15" x14ac:dyDescent="0.25">
      <c r="A785">
        <v>783</v>
      </c>
      <c r="B785" s="7" t="s">
        <v>701</v>
      </c>
      <c r="C785" s="13" t="s">
        <v>1604</v>
      </c>
      <c r="D785" s="14" t="s">
        <v>5</v>
      </c>
      <c r="E785" s="15">
        <v>15246</v>
      </c>
      <c r="F785" s="16">
        <v>10507</v>
      </c>
      <c r="G785" s="17" t="s">
        <v>6</v>
      </c>
      <c r="H785" s="18">
        <v>2</v>
      </c>
      <c r="I785" s="19">
        <f>VLOOKUP(B785,[1]Лист2!$A:$J,10,0)</f>
        <v>10641.94</v>
      </c>
      <c r="J785" s="29">
        <v>10748.359400000001</v>
      </c>
      <c r="K785" s="19">
        <f t="shared" si="12"/>
        <v>-4497.6405999999988</v>
      </c>
      <c r="L785" s="18"/>
      <c r="M785" s="18"/>
      <c r="N785" s="18"/>
      <c r="O785" s="26" t="s">
        <v>1036</v>
      </c>
    </row>
    <row r="786" spans="1:15" ht="15" x14ac:dyDescent="0.25">
      <c r="A786">
        <v>784</v>
      </c>
      <c r="B786" s="8" t="s">
        <v>701</v>
      </c>
      <c r="C786" s="21" t="s">
        <v>1604</v>
      </c>
      <c r="D786" s="22" t="s">
        <v>5</v>
      </c>
      <c r="E786" s="15">
        <v>15489</v>
      </c>
      <c r="F786" s="23">
        <v>10507</v>
      </c>
      <c r="G786" s="24" t="s">
        <v>6</v>
      </c>
      <c r="H786" s="18">
        <v>1</v>
      </c>
      <c r="I786" s="19">
        <f>VLOOKUP(B786,[1]Лист2!$A:$J,10,0)</f>
        <v>10641.94</v>
      </c>
      <c r="J786" s="29">
        <v>10748.359400000001</v>
      </c>
      <c r="K786" s="19">
        <f t="shared" si="12"/>
        <v>-4740.6405999999988</v>
      </c>
      <c r="L786" s="18"/>
      <c r="M786" s="18"/>
      <c r="N786" s="18"/>
      <c r="O786" s="26" t="s">
        <v>1036</v>
      </c>
    </row>
    <row r="787" spans="1:15" ht="15" x14ac:dyDescent="0.25">
      <c r="A787">
        <v>785</v>
      </c>
      <c r="B787" s="7" t="s">
        <v>701</v>
      </c>
      <c r="C787" s="13" t="s">
        <v>1604</v>
      </c>
      <c r="D787" s="14" t="s">
        <v>5</v>
      </c>
      <c r="E787" s="15">
        <v>15589</v>
      </c>
      <c r="F787" s="16">
        <v>10507</v>
      </c>
      <c r="G787" s="17" t="s">
        <v>6</v>
      </c>
      <c r="H787" s="18">
        <v>1</v>
      </c>
      <c r="I787" s="19">
        <f>VLOOKUP(B787,[1]Лист2!$A:$J,10,0)</f>
        <v>10641.94</v>
      </c>
      <c r="J787" s="29">
        <v>10748.359400000001</v>
      </c>
      <c r="K787" s="19">
        <f t="shared" si="12"/>
        <v>-4840.6405999999988</v>
      </c>
      <c r="L787" s="18"/>
      <c r="M787" s="18"/>
      <c r="N787" s="18"/>
      <c r="O787" s="26" t="s">
        <v>1036</v>
      </c>
    </row>
    <row r="788" spans="1:15" ht="15" x14ac:dyDescent="0.25">
      <c r="A788">
        <v>786</v>
      </c>
      <c r="B788" s="8" t="s">
        <v>701</v>
      </c>
      <c r="C788" s="21" t="s">
        <v>1604</v>
      </c>
      <c r="D788" s="22" t="s">
        <v>5</v>
      </c>
      <c r="E788" s="15">
        <v>14602</v>
      </c>
      <c r="F788" s="23">
        <v>10507</v>
      </c>
      <c r="G788" s="24" t="s">
        <v>6</v>
      </c>
      <c r="H788" s="18">
        <v>1</v>
      </c>
      <c r="I788" s="19">
        <f>VLOOKUP(B788,[1]Лист2!$A:$J,10,0)</f>
        <v>10641.94</v>
      </c>
      <c r="J788" s="29">
        <v>10748.359400000001</v>
      </c>
      <c r="K788" s="19">
        <f t="shared" si="12"/>
        <v>-3853.6405999999988</v>
      </c>
      <c r="L788" s="18"/>
      <c r="M788" s="18"/>
      <c r="N788" s="18"/>
      <c r="O788" s="26" t="s">
        <v>1036</v>
      </c>
    </row>
    <row r="789" spans="1:15" ht="15" x14ac:dyDescent="0.25">
      <c r="A789">
        <v>787</v>
      </c>
      <c r="B789" s="7" t="s">
        <v>702</v>
      </c>
      <c r="C789" s="13" t="s">
        <v>1605</v>
      </c>
      <c r="D789" s="14" t="s">
        <v>5</v>
      </c>
      <c r="E789" s="15">
        <v>8349</v>
      </c>
      <c r="F789" s="16">
        <v>7219</v>
      </c>
      <c r="G789" s="17" t="s">
        <v>6</v>
      </c>
      <c r="H789" s="18">
        <v>1</v>
      </c>
      <c r="I789" s="19">
        <f>VLOOKUP(B789,[1]Лист2!$A:$J,10,0)</f>
        <v>3999.1</v>
      </c>
      <c r="J789" s="19">
        <v>6930.24</v>
      </c>
      <c r="K789" s="19">
        <f t="shared" si="12"/>
        <v>-1418.7600000000002</v>
      </c>
      <c r="L789" s="18"/>
      <c r="M789" s="18"/>
      <c r="N789" s="18"/>
      <c r="O789" s="26" t="s">
        <v>1036</v>
      </c>
    </row>
    <row r="790" spans="1:15" ht="15" x14ac:dyDescent="0.25">
      <c r="A790">
        <v>788</v>
      </c>
      <c r="B790" s="8" t="s">
        <v>702</v>
      </c>
      <c r="C790" s="21" t="s">
        <v>1605</v>
      </c>
      <c r="D790" s="22" t="s">
        <v>5</v>
      </c>
      <c r="E790" s="15">
        <v>10019</v>
      </c>
      <c r="F790" s="23">
        <v>7219</v>
      </c>
      <c r="G790" s="24" t="s">
        <v>6</v>
      </c>
      <c r="H790" s="18">
        <v>1</v>
      </c>
      <c r="I790" s="19">
        <f>VLOOKUP(B790,[1]Лист2!$A:$J,10,0)</f>
        <v>3999.1</v>
      </c>
      <c r="J790" s="19">
        <v>6930.24</v>
      </c>
      <c r="K790" s="19">
        <f t="shared" si="12"/>
        <v>-3088.76</v>
      </c>
      <c r="L790" s="18"/>
      <c r="M790" s="18"/>
      <c r="N790" s="18"/>
      <c r="O790" s="26" t="s">
        <v>1036</v>
      </c>
    </row>
    <row r="791" spans="1:15" ht="15" x14ac:dyDescent="0.25">
      <c r="A791">
        <v>789</v>
      </c>
      <c r="B791" s="7" t="s">
        <v>702</v>
      </c>
      <c r="C791" s="13" t="s">
        <v>1605</v>
      </c>
      <c r="D791" s="14" t="s">
        <v>5</v>
      </c>
      <c r="E791" s="16">
        <v>6995</v>
      </c>
      <c r="F791" s="15">
        <v>7219</v>
      </c>
      <c r="G791" s="17" t="s">
        <v>6</v>
      </c>
      <c r="H791" s="18">
        <v>1</v>
      </c>
      <c r="I791" s="19">
        <f>VLOOKUP(B791,[1]Лист2!$A:$J,10,0)</f>
        <v>3999.1</v>
      </c>
      <c r="J791" s="19">
        <v>6930.24</v>
      </c>
      <c r="K791" s="19">
        <f t="shared" si="12"/>
        <v>-64.760000000000218</v>
      </c>
      <c r="L791" s="18"/>
      <c r="M791" s="18"/>
      <c r="N791" s="18"/>
      <c r="O791" s="26" t="s">
        <v>1036</v>
      </c>
    </row>
    <row r="792" spans="1:15" ht="15" x14ac:dyDescent="0.25">
      <c r="A792">
        <v>790</v>
      </c>
      <c r="B792" s="8" t="s">
        <v>702</v>
      </c>
      <c r="C792" s="21" t="s">
        <v>1605</v>
      </c>
      <c r="D792" s="22" t="s">
        <v>5</v>
      </c>
      <c r="E792" s="23">
        <v>6995</v>
      </c>
      <c r="F792" s="15">
        <v>7219</v>
      </c>
      <c r="G792" s="24" t="s">
        <v>6</v>
      </c>
      <c r="H792" s="18">
        <v>2</v>
      </c>
      <c r="I792" s="19">
        <f>VLOOKUP(B792,[1]Лист2!$A:$J,10,0)</f>
        <v>3999.1</v>
      </c>
      <c r="J792" s="19">
        <v>6930.24</v>
      </c>
      <c r="K792" s="19">
        <f t="shared" si="12"/>
        <v>-64.760000000000218</v>
      </c>
      <c r="L792" s="18"/>
      <c r="M792" s="18"/>
      <c r="N792" s="18"/>
      <c r="O792" s="26" t="s">
        <v>1036</v>
      </c>
    </row>
    <row r="793" spans="1:15" ht="15" x14ac:dyDescent="0.25">
      <c r="A793">
        <v>791</v>
      </c>
      <c r="B793" s="7" t="s">
        <v>703</v>
      </c>
      <c r="C793" s="13" t="s">
        <v>1606</v>
      </c>
      <c r="D793" s="14" t="s">
        <v>5</v>
      </c>
      <c r="E793" s="15">
        <v>25491</v>
      </c>
      <c r="F793" s="16">
        <v>11253.53</v>
      </c>
      <c r="G793" s="17" t="s">
        <v>11</v>
      </c>
      <c r="H793" s="18">
        <v>1</v>
      </c>
      <c r="I793" s="19">
        <f>VLOOKUP(B793,[1]Лист2!$A:$J,10,0)</f>
        <v>11599.36</v>
      </c>
      <c r="J793" s="29">
        <v>15750</v>
      </c>
      <c r="K793" s="19">
        <f t="shared" si="12"/>
        <v>-9741</v>
      </c>
      <c r="L793" s="18"/>
      <c r="M793" s="18"/>
      <c r="N793" s="18"/>
      <c r="O793" s="26" t="s">
        <v>1036</v>
      </c>
    </row>
    <row r="794" spans="1:15" ht="15" x14ac:dyDescent="0.25">
      <c r="A794">
        <v>792</v>
      </c>
      <c r="B794" s="8" t="s">
        <v>704</v>
      </c>
      <c r="C794" s="21" t="s">
        <v>1607</v>
      </c>
      <c r="D794" s="22" t="s">
        <v>5</v>
      </c>
      <c r="E794" s="23">
        <v>12133</v>
      </c>
      <c r="F794" s="15">
        <v>14331</v>
      </c>
      <c r="G794" s="24" t="s">
        <v>6</v>
      </c>
      <c r="H794" s="18">
        <v>2</v>
      </c>
      <c r="I794" s="19"/>
      <c r="J794" s="19">
        <v>13757.76</v>
      </c>
      <c r="K794" s="19">
        <f t="shared" si="12"/>
        <v>1624.7600000000002</v>
      </c>
      <c r="L794" s="18"/>
      <c r="M794" s="18"/>
      <c r="N794" s="18"/>
      <c r="O794" s="26" t="s">
        <v>1036</v>
      </c>
    </row>
    <row r="795" spans="1:15" ht="15" x14ac:dyDescent="0.25">
      <c r="A795">
        <v>793</v>
      </c>
      <c r="B795" s="7" t="s">
        <v>705</v>
      </c>
      <c r="C795" s="13" t="s">
        <v>1608</v>
      </c>
      <c r="D795" s="14" t="s">
        <v>24</v>
      </c>
      <c r="E795" s="16">
        <v>3217</v>
      </c>
      <c r="F795" s="15">
        <v>4295</v>
      </c>
      <c r="G795" s="17" t="s">
        <v>6</v>
      </c>
      <c r="H795" s="18">
        <v>1</v>
      </c>
      <c r="I795" s="19"/>
      <c r="J795" s="19">
        <v>4123.2</v>
      </c>
      <c r="K795" s="19">
        <f t="shared" si="12"/>
        <v>906.19999999999982</v>
      </c>
      <c r="L795" s="18"/>
      <c r="M795" s="18"/>
      <c r="N795" s="18"/>
      <c r="O795" s="26" t="s">
        <v>1036</v>
      </c>
    </row>
    <row r="796" spans="1:15" ht="15" x14ac:dyDescent="0.25">
      <c r="A796">
        <v>794</v>
      </c>
      <c r="B796" s="8" t="s">
        <v>706</v>
      </c>
      <c r="C796" s="21" t="s">
        <v>1609</v>
      </c>
      <c r="D796" s="22" t="s">
        <v>267</v>
      </c>
      <c r="E796" s="15">
        <v>10892</v>
      </c>
      <c r="F796" s="23">
        <v>4266</v>
      </c>
      <c r="G796" s="24" t="s">
        <v>6</v>
      </c>
      <c r="H796" s="18">
        <v>2</v>
      </c>
      <c r="I796" s="19"/>
      <c r="J796" s="19">
        <v>11000.92</v>
      </c>
      <c r="K796" s="19">
        <f t="shared" si="12"/>
        <v>108.92000000000007</v>
      </c>
      <c r="L796" s="18"/>
      <c r="M796" s="18"/>
      <c r="N796" s="18"/>
      <c r="O796" s="26" t="s">
        <v>1036</v>
      </c>
    </row>
    <row r="797" spans="1:15" ht="15" x14ac:dyDescent="0.25">
      <c r="A797">
        <v>795</v>
      </c>
      <c r="B797" s="7" t="s">
        <v>707</v>
      </c>
      <c r="C797" s="13" t="s">
        <v>1610</v>
      </c>
      <c r="D797" s="14" t="s">
        <v>267</v>
      </c>
      <c r="E797" s="15">
        <v>10892</v>
      </c>
      <c r="F797" s="16">
        <v>10401</v>
      </c>
      <c r="G797" s="17" t="s">
        <v>6</v>
      </c>
      <c r="H797" s="18">
        <v>2</v>
      </c>
      <c r="I797" s="19"/>
      <c r="J797" s="19">
        <v>11000.92</v>
      </c>
      <c r="K797" s="19">
        <f t="shared" si="12"/>
        <v>108.92000000000007</v>
      </c>
      <c r="L797" s="18"/>
      <c r="M797" s="18"/>
      <c r="N797" s="18"/>
      <c r="O797" s="26" t="s">
        <v>1036</v>
      </c>
    </row>
    <row r="798" spans="1:15" ht="15" x14ac:dyDescent="0.25">
      <c r="A798">
        <v>796</v>
      </c>
      <c r="B798" s="8" t="s">
        <v>708</v>
      </c>
      <c r="C798" s="21" t="s">
        <v>1611</v>
      </c>
      <c r="D798" s="22" t="s">
        <v>24</v>
      </c>
      <c r="E798" s="23">
        <v>37286</v>
      </c>
      <c r="F798" s="15">
        <v>46575</v>
      </c>
      <c r="G798" s="24" t="s">
        <v>6</v>
      </c>
      <c r="H798" s="18">
        <v>1</v>
      </c>
      <c r="I798" s="19"/>
      <c r="J798" s="19">
        <v>41712</v>
      </c>
      <c r="K798" s="19">
        <f t="shared" si="12"/>
        <v>4426</v>
      </c>
      <c r="L798" s="18"/>
      <c r="M798" s="18"/>
      <c r="N798" s="18"/>
      <c r="O798" s="26" t="s">
        <v>1036</v>
      </c>
    </row>
    <row r="799" spans="1:15" ht="15" x14ac:dyDescent="0.25">
      <c r="A799">
        <v>797</v>
      </c>
      <c r="B799" s="7" t="s">
        <v>709</v>
      </c>
      <c r="C799" s="13" t="s">
        <v>1612</v>
      </c>
      <c r="D799" s="14" t="s">
        <v>273</v>
      </c>
      <c r="E799" s="16">
        <v>2069</v>
      </c>
      <c r="F799" s="15">
        <v>2546</v>
      </c>
      <c r="G799" s="17" t="s">
        <v>6</v>
      </c>
      <c r="H799" s="18">
        <v>1</v>
      </c>
      <c r="I799" s="19"/>
      <c r="J799" s="19">
        <v>2444.16</v>
      </c>
      <c r="K799" s="19">
        <f t="shared" si="12"/>
        <v>375.15999999999985</v>
      </c>
      <c r="L799" s="18"/>
      <c r="M799" s="18"/>
      <c r="N799" s="18"/>
      <c r="O799" s="26" t="s">
        <v>1036</v>
      </c>
    </row>
    <row r="800" spans="1:15" ht="15" x14ac:dyDescent="0.25">
      <c r="A800">
        <v>798</v>
      </c>
      <c r="B800" s="8" t="s">
        <v>710</v>
      </c>
      <c r="C800" s="21" t="s">
        <v>1613</v>
      </c>
      <c r="D800" s="22" t="s">
        <v>16</v>
      </c>
      <c r="E800" s="23">
        <v>35146</v>
      </c>
      <c r="F800" s="15">
        <v>43094</v>
      </c>
      <c r="G800" s="24" t="s">
        <v>6</v>
      </c>
      <c r="H800" s="18">
        <v>1</v>
      </c>
      <c r="I800" s="19">
        <f>VLOOKUP(B800,[1]Лист2!$A:$J,10,0)</f>
        <v>152.67500000000001</v>
      </c>
      <c r="J800" s="19">
        <v>39370.239999999998</v>
      </c>
      <c r="K800" s="19">
        <f t="shared" si="12"/>
        <v>4224.239999999998</v>
      </c>
      <c r="L800" s="18"/>
      <c r="M800" s="18"/>
      <c r="N800" s="18"/>
      <c r="O800" s="26" t="s">
        <v>1036</v>
      </c>
    </row>
    <row r="801" spans="1:15" ht="15" x14ac:dyDescent="0.25">
      <c r="A801">
        <v>799</v>
      </c>
      <c r="B801" s="7" t="s">
        <v>711</v>
      </c>
      <c r="C801" s="13" t="s">
        <v>1614</v>
      </c>
      <c r="D801" s="14" t="s">
        <v>16</v>
      </c>
      <c r="E801" s="16">
        <v>4990</v>
      </c>
      <c r="F801" s="15">
        <v>6126</v>
      </c>
      <c r="G801" s="17" t="s">
        <v>6</v>
      </c>
      <c r="H801" s="18">
        <v>1</v>
      </c>
      <c r="I801" s="19">
        <f>VLOOKUP(B801,[1]Лист2!$A:$J,10,0)</f>
        <v>2495.9899999999998</v>
      </c>
      <c r="J801" s="19">
        <v>5880.96</v>
      </c>
      <c r="K801" s="19">
        <f t="shared" si="12"/>
        <v>890.96</v>
      </c>
      <c r="L801" s="18"/>
      <c r="M801" s="18"/>
      <c r="N801" s="18"/>
      <c r="O801" s="26" t="s">
        <v>1036</v>
      </c>
    </row>
    <row r="802" spans="1:15" ht="15" x14ac:dyDescent="0.25">
      <c r="A802">
        <v>800</v>
      </c>
      <c r="B802" s="8" t="s">
        <v>712</v>
      </c>
      <c r="C802" s="21" t="s">
        <v>1614</v>
      </c>
      <c r="D802" s="22" t="s">
        <v>16</v>
      </c>
      <c r="E802" s="23">
        <v>4990</v>
      </c>
      <c r="F802" s="15">
        <v>5406</v>
      </c>
      <c r="G802" s="24" t="s">
        <v>6</v>
      </c>
      <c r="H802" s="18">
        <v>1</v>
      </c>
      <c r="I802" s="19">
        <f>VLOOKUP(B802,[1]Лист2!$A:$J,10,0)</f>
        <v>2967.8049999999998</v>
      </c>
      <c r="J802" s="19">
        <v>5189.76</v>
      </c>
      <c r="K802" s="19">
        <f t="shared" si="12"/>
        <v>199.76000000000022</v>
      </c>
      <c r="L802" s="18"/>
      <c r="M802" s="18"/>
      <c r="N802" s="18"/>
      <c r="O802" s="26" t="s">
        <v>1036</v>
      </c>
    </row>
    <row r="803" spans="1:15" ht="15" x14ac:dyDescent="0.25">
      <c r="A803">
        <v>801</v>
      </c>
      <c r="B803" s="7" t="s">
        <v>712</v>
      </c>
      <c r="C803" s="13" t="s">
        <v>1614</v>
      </c>
      <c r="D803" s="14" t="s">
        <v>16</v>
      </c>
      <c r="E803" s="16">
        <v>4990</v>
      </c>
      <c r="F803" s="15">
        <v>5406</v>
      </c>
      <c r="G803" s="17" t="s">
        <v>6</v>
      </c>
      <c r="H803" s="18">
        <v>1</v>
      </c>
      <c r="I803" s="19">
        <f>VLOOKUP(B803,[1]Лист2!$A:$J,10,0)</f>
        <v>2967.8049999999998</v>
      </c>
      <c r="J803" s="19">
        <v>5189.76</v>
      </c>
      <c r="K803" s="19">
        <f t="shared" si="12"/>
        <v>199.76000000000022</v>
      </c>
      <c r="L803" s="18"/>
      <c r="M803" s="18"/>
      <c r="N803" s="18"/>
      <c r="O803" s="26" t="s">
        <v>1036</v>
      </c>
    </row>
    <row r="804" spans="1:15" ht="15" x14ac:dyDescent="0.25">
      <c r="A804">
        <v>802</v>
      </c>
      <c r="B804" s="8" t="s">
        <v>713</v>
      </c>
      <c r="C804" s="21" t="s">
        <v>1615</v>
      </c>
      <c r="D804" s="22" t="s">
        <v>119</v>
      </c>
      <c r="E804" s="23">
        <v>4426</v>
      </c>
      <c r="F804" s="15">
        <v>5433</v>
      </c>
      <c r="G804" s="24" t="s">
        <v>6</v>
      </c>
      <c r="H804" s="18">
        <v>1</v>
      </c>
      <c r="I804" s="19"/>
      <c r="J804" s="19">
        <v>5215.6799999999994</v>
      </c>
      <c r="K804" s="19">
        <f t="shared" si="12"/>
        <v>789.67999999999938</v>
      </c>
      <c r="L804" s="18"/>
      <c r="M804" s="18"/>
      <c r="N804" s="18"/>
      <c r="O804" s="26" t="s">
        <v>1036</v>
      </c>
    </row>
    <row r="805" spans="1:15" ht="15" x14ac:dyDescent="0.25">
      <c r="A805">
        <v>803</v>
      </c>
      <c r="B805" s="7" t="s">
        <v>714</v>
      </c>
      <c r="C805" s="13" t="s">
        <v>1616</v>
      </c>
      <c r="D805" s="14" t="s">
        <v>16</v>
      </c>
      <c r="E805" s="16">
        <v>6141</v>
      </c>
      <c r="F805" s="15">
        <v>7538</v>
      </c>
      <c r="G805" s="17" t="s">
        <v>6</v>
      </c>
      <c r="H805" s="18">
        <v>1</v>
      </c>
      <c r="I805" s="19"/>
      <c r="J805" s="19">
        <v>7236.48</v>
      </c>
      <c r="K805" s="19">
        <f t="shared" si="12"/>
        <v>1095.4799999999996</v>
      </c>
      <c r="L805" s="18"/>
      <c r="M805" s="18"/>
      <c r="N805" s="18"/>
      <c r="O805" s="26" t="s">
        <v>1036</v>
      </c>
    </row>
    <row r="806" spans="1:15" ht="15" x14ac:dyDescent="0.25">
      <c r="A806">
        <v>804</v>
      </c>
      <c r="B806" s="8" t="s">
        <v>715</v>
      </c>
      <c r="C806" s="21" t="s">
        <v>1617</v>
      </c>
      <c r="D806" s="22" t="s">
        <v>16</v>
      </c>
      <c r="E806" s="15">
        <v>5949</v>
      </c>
      <c r="F806" s="23">
        <v>5094</v>
      </c>
      <c r="G806" s="24" t="s">
        <v>6</v>
      </c>
      <c r="H806" s="18">
        <v>1</v>
      </c>
      <c r="I806" s="19">
        <f>VLOOKUP(B806,[1]Лист2!$A:$J,10,0)</f>
        <v>5199.8149999999996</v>
      </c>
      <c r="J806" s="29">
        <v>5251.81315</v>
      </c>
      <c r="K806" s="19">
        <f t="shared" si="12"/>
        <v>-697.18685000000005</v>
      </c>
      <c r="L806" s="18"/>
      <c r="M806" s="18"/>
      <c r="N806" s="18"/>
      <c r="O806" s="26" t="s">
        <v>1036</v>
      </c>
    </row>
    <row r="807" spans="1:15" ht="15" x14ac:dyDescent="0.25">
      <c r="A807">
        <v>805</v>
      </c>
      <c r="B807" s="7" t="s">
        <v>716</v>
      </c>
      <c r="C807" s="13" t="s">
        <v>1122</v>
      </c>
      <c r="D807" s="14" t="s">
        <v>16</v>
      </c>
      <c r="E807" s="16">
        <v>1721</v>
      </c>
      <c r="F807" s="15">
        <v>2119</v>
      </c>
      <c r="G807" s="17" t="s">
        <v>6</v>
      </c>
      <c r="H807" s="18">
        <v>1</v>
      </c>
      <c r="I807" s="19"/>
      <c r="J807" s="19">
        <v>2034.24</v>
      </c>
      <c r="K807" s="19">
        <f t="shared" si="12"/>
        <v>313.24</v>
      </c>
      <c r="L807" s="18"/>
      <c r="M807" s="18"/>
      <c r="N807" s="18"/>
      <c r="O807" s="26" t="s">
        <v>1036</v>
      </c>
    </row>
    <row r="808" spans="1:15" ht="15" x14ac:dyDescent="0.25">
      <c r="A808">
        <v>806</v>
      </c>
      <c r="B808" s="8" t="s">
        <v>717</v>
      </c>
      <c r="C808" s="21" t="s">
        <v>1618</v>
      </c>
      <c r="D808" s="22" t="s">
        <v>16</v>
      </c>
      <c r="E808" s="23">
        <v>1767</v>
      </c>
      <c r="F808" s="15">
        <v>2175</v>
      </c>
      <c r="G808" s="24" t="s">
        <v>6</v>
      </c>
      <c r="H808" s="18">
        <v>1</v>
      </c>
      <c r="I808" s="19"/>
      <c r="J808" s="19">
        <v>2088</v>
      </c>
      <c r="K808" s="19">
        <f t="shared" si="12"/>
        <v>321</v>
      </c>
      <c r="L808" s="18"/>
      <c r="M808" s="18"/>
      <c r="N808" s="18"/>
      <c r="O808" s="26" t="s">
        <v>1036</v>
      </c>
    </row>
    <row r="809" spans="1:15" ht="15" x14ac:dyDescent="0.25">
      <c r="A809">
        <v>807</v>
      </c>
      <c r="B809" s="7" t="s">
        <v>718</v>
      </c>
      <c r="C809" s="13" t="s">
        <v>1619</v>
      </c>
      <c r="D809" s="14" t="s">
        <v>16</v>
      </c>
      <c r="E809" s="15">
        <v>4961</v>
      </c>
      <c r="F809" s="16">
        <v>1942</v>
      </c>
      <c r="G809" s="17" t="s">
        <v>6</v>
      </c>
      <c r="H809" s="18">
        <v>1</v>
      </c>
      <c r="I809" s="19"/>
      <c r="J809" s="19">
        <v>5010.6099999999997</v>
      </c>
      <c r="K809" s="19">
        <f t="shared" si="12"/>
        <v>49.609999999999673</v>
      </c>
      <c r="L809" s="18"/>
      <c r="M809" s="18"/>
      <c r="N809" s="18"/>
      <c r="O809" s="26" t="s">
        <v>1036</v>
      </c>
    </row>
    <row r="810" spans="1:15" ht="15" x14ac:dyDescent="0.25">
      <c r="A810">
        <v>808</v>
      </c>
      <c r="B810" s="8" t="s">
        <v>719</v>
      </c>
      <c r="C810" s="21" t="s">
        <v>1620</v>
      </c>
      <c r="D810" s="22" t="s">
        <v>119</v>
      </c>
      <c r="E810" s="23">
        <v>8742</v>
      </c>
      <c r="F810" s="15">
        <v>14286</v>
      </c>
      <c r="G810" s="24" t="s">
        <v>6</v>
      </c>
      <c r="H810" s="18">
        <v>1</v>
      </c>
      <c r="I810" s="19">
        <f>VLOOKUP(B810,[1]Лист2!$A:$J,10,0)</f>
        <v>5514.03</v>
      </c>
      <c r="J810" s="19">
        <v>10059</v>
      </c>
      <c r="K810" s="19">
        <f t="shared" si="12"/>
        <v>1317</v>
      </c>
      <c r="L810" s="18"/>
      <c r="M810" s="18"/>
      <c r="N810" s="18"/>
      <c r="O810" s="26" t="s">
        <v>1036</v>
      </c>
    </row>
    <row r="811" spans="1:15" ht="15" x14ac:dyDescent="0.25">
      <c r="A811">
        <v>809</v>
      </c>
      <c r="B811" s="7" t="s">
        <v>719</v>
      </c>
      <c r="C811" s="13" t="s">
        <v>1620</v>
      </c>
      <c r="D811" s="14" t="s">
        <v>119</v>
      </c>
      <c r="E811" s="15">
        <v>15518</v>
      </c>
      <c r="F811" s="16">
        <v>14286</v>
      </c>
      <c r="G811" s="17" t="s">
        <v>6</v>
      </c>
      <c r="H811" s="18">
        <v>1</v>
      </c>
      <c r="I811" s="19">
        <f>VLOOKUP(B811,[1]Лист2!$A:$J,10,0)</f>
        <v>5514.03</v>
      </c>
      <c r="J811" s="19">
        <v>13714.56</v>
      </c>
      <c r="K811" s="19">
        <f t="shared" si="12"/>
        <v>-1803.4400000000005</v>
      </c>
      <c r="L811" s="18"/>
      <c r="M811" s="18"/>
      <c r="N811" s="18"/>
      <c r="O811" s="26" t="s">
        <v>1036</v>
      </c>
    </row>
    <row r="812" spans="1:15" ht="15" x14ac:dyDescent="0.25">
      <c r="A812">
        <v>810</v>
      </c>
      <c r="B812" s="8" t="s">
        <v>719</v>
      </c>
      <c r="C812" s="21" t="s">
        <v>1620</v>
      </c>
      <c r="D812" s="22" t="s">
        <v>119</v>
      </c>
      <c r="E812" s="23">
        <v>13713</v>
      </c>
      <c r="F812" s="15">
        <v>14286</v>
      </c>
      <c r="G812" s="24" t="s">
        <v>6</v>
      </c>
      <c r="H812" s="18">
        <v>1</v>
      </c>
      <c r="I812" s="19">
        <f>VLOOKUP(B812,[1]Лист2!$A:$J,10,0)</f>
        <v>5514.03</v>
      </c>
      <c r="J812" s="19">
        <v>13714.56</v>
      </c>
      <c r="K812" s="19">
        <f t="shared" si="12"/>
        <v>1.5599999999994907</v>
      </c>
      <c r="L812" s="18"/>
      <c r="M812" s="18"/>
      <c r="N812" s="18"/>
      <c r="O812" s="26" t="s">
        <v>1036</v>
      </c>
    </row>
    <row r="813" spans="1:15" ht="15" x14ac:dyDescent="0.25">
      <c r="A813">
        <v>811</v>
      </c>
      <c r="B813" s="7" t="s">
        <v>720</v>
      </c>
      <c r="C813" s="13" t="s">
        <v>1621</v>
      </c>
      <c r="D813" s="14" t="s">
        <v>119</v>
      </c>
      <c r="E813" s="15">
        <v>15433</v>
      </c>
      <c r="F813" s="16">
        <v>10990</v>
      </c>
      <c r="G813" s="17" t="s">
        <v>6</v>
      </c>
      <c r="H813" s="18">
        <v>1</v>
      </c>
      <c r="I813" s="19">
        <f>VLOOKUP(B813,[1]Лист2!$A:$J,10,0)</f>
        <v>8841.36</v>
      </c>
      <c r="J813" s="19">
        <v>10550.4</v>
      </c>
      <c r="K813" s="19">
        <f t="shared" si="12"/>
        <v>-4882.6000000000004</v>
      </c>
      <c r="L813" s="18"/>
      <c r="M813" s="18"/>
      <c r="N813" s="18"/>
      <c r="O813" s="26" t="s">
        <v>1036</v>
      </c>
    </row>
    <row r="814" spans="1:15" ht="15" x14ac:dyDescent="0.25">
      <c r="A814">
        <v>812</v>
      </c>
      <c r="B814" s="8" t="s">
        <v>720</v>
      </c>
      <c r="C814" s="21" t="s">
        <v>1621</v>
      </c>
      <c r="D814" s="22" t="s">
        <v>119</v>
      </c>
      <c r="E814" s="15">
        <v>15433</v>
      </c>
      <c r="F814" s="23">
        <v>10990</v>
      </c>
      <c r="G814" s="24" t="s">
        <v>6</v>
      </c>
      <c r="H814" s="18">
        <v>1</v>
      </c>
      <c r="I814" s="19">
        <f>VLOOKUP(B814,[1]Лист2!$A:$J,10,0)</f>
        <v>8841.36</v>
      </c>
      <c r="J814" s="19">
        <v>10550.4</v>
      </c>
      <c r="K814" s="19">
        <f t="shared" si="12"/>
        <v>-4882.6000000000004</v>
      </c>
      <c r="L814" s="18"/>
      <c r="M814" s="18"/>
      <c r="N814" s="18"/>
      <c r="O814" s="26" t="s">
        <v>1036</v>
      </c>
    </row>
    <row r="815" spans="1:15" ht="15" x14ac:dyDescent="0.25">
      <c r="A815">
        <v>813</v>
      </c>
      <c r="B815" s="7" t="s">
        <v>721</v>
      </c>
      <c r="C815" s="13" t="s">
        <v>1622</v>
      </c>
      <c r="D815" s="14" t="s">
        <v>16</v>
      </c>
      <c r="E815" s="15">
        <v>9158</v>
      </c>
      <c r="F815" s="16">
        <v>7550</v>
      </c>
      <c r="G815" s="17" t="s">
        <v>6</v>
      </c>
      <c r="H815" s="18">
        <v>1</v>
      </c>
      <c r="I815" s="19">
        <f>VLOOKUP(B815,[1]Лист2!$A:$J,10,0)</f>
        <v>7810.0649999999996</v>
      </c>
      <c r="J815" s="29">
        <v>7888.1656499999999</v>
      </c>
      <c r="K815" s="19">
        <f t="shared" si="12"/>
        <v>-1269.8343500000001</v>
      </c>
      <c r="L815" s="18"/>
      <c r="M815" s="18"/>
      <c r="N815" s="18"/>
      <c r="O815" s="26" t="s">
        <v>1036</v>
      </c>
    </row>
    <row r="816" spans="1:15" ht="15" x14ac:dyDescent="0.25">
      <c r="A816">
        <v>814</v>
      </c>
      <c r="B816" s="8" t="s">
        <v>722</v>
      </c>
      <c r="C816" s="21" t="s">
        <v>1623</v>
      </c>
      <c r="D816" s="22" t="s">
        <v>16</v>
      </c>
      <c r="E816" s="15">
        <v>6121</v>
      </c>
      <c r="F816" s="23">
        <v>2380.39</v>
      </c>
      <c r="G816" s="24" t="s">
        <v>9</v>
      </c>
      <c r="H816" s="18">
        <v>1</v>
      </c>
      <c r="I816" s="19">
        <f>VLOOKUP(B816,[1]Лист2!$A:$J,10,0)</f>
        <v>2316.7199999999998</v>
      </c>
      <c r="J816" s="29">
        <v>2339.8871999999997</v>
      </c>
      <c r="K816" s="19">
        <f t="shared" si="12"/>
        <v>-3781.1128000000003</v>
      </c>
      <c r="L816" s="18"/>
      <c r="M816" s="18"/>
      <c r="N816" s="18"/>
      <c r="O816" s="26" t="s">
        <v>1036</v>
      </c>
    </row>
    <row r="817" spans="1:15" ht="15" x14ac:dyDescent="0.25">
      <c r="A817">
        <v>815</v>
      </c>
      <c r="B817" s="7" t="s">
        <v>723</v>
      </c>
      <c r="C817" s="13" t="s">
        <v>1614</v>
      </c>
      <c r="D817" s="14" t="s">
        <v>16</v>
      </c>
      <c r="E817" s="16">
        <v>4990</v>
      </c>
      <c r="F817" s="15">
        <v>6126</v>
      </c>
      <c r="G817" s="17" t="s">
        <v>6</v>
      </c>
      <c r="H817" s="18">
        <v>1</v>
      </c>
      <c r="I817" s="19"/>
      <c r="J817" s="19">
        <v>5880.96</v>
      </c>
      <c r="K817" s="19">
        <f t="shared" si="12"/>
        <v>890.96</v>
      </c>
      <c r="L817" s="18"/>
      <c r="M817" s="18"/>
      <c r="N817" s="18"/>
      <c r="O817" s="26" t="s">
        <v>1036</v>
      </c>
    </row>
    <row r="818" spans="1:15" ht="15" x14ac:dyDescent="0.25">
      <c r="A818">
        <v>816</v>
      </c>
      <c r="B818" s="8" t="s">
        <v>724</v>
      </c>
      <c r="C818" s="21" t="s">
        <v>1624</v>
      </c>
      <c r="D818" s="22" t="s">
        <v>16</v>
      </c>
      <c r="E818" s="23">
        <v>1473</v>
      </c>
      <c r="F818" s="15">
        <v>1814</v>
      </c>
      <c r="G818" s="24" t="s">
        <v>6</v>
      </c>
      <c r="H818" s="18">
        <v>1</v>
      </c>
      <c r="I818" s="19"/>
      <c r="J818" s="19">
        <v>1741.4399999999998</v>
      </c>
      <c r="K818" s="19">
        <f t="shared" si="12"/>
        <v>268.43999999999983</v>
      </c>
      <c r="L818" s="18"/>
      <c r="M818" s="18"/>
      <c r="N818" s="18"/>
      <c r="O818" s="26" t="s">
        <v>1036</v>
      </c>
    </row>
    <row r="819" spans="1:15" ht="15" x14ac:dyDescent="0.25">
      <c r="A819">
        <v>817</v>
      </c>
      <c r="B819" s="7" t="s">
        <v>725</v>
      </c>
      <c r="C819" s="13" t="s">
        <v>1625</v>
      </c>
      <c r="D819" s="14" t="s">
        <v>16</v>
      </c>
      <c r="E819" s="16">
        <v>1568</v>
      </c>
      <c r="F819" s="15">
        <v>1931</v>
      </c>
      <c r="G819" s="17" t="s">
        <v>6</v>
      </c>
      <c r="H819" s="18">
        <v>1</v>
      </c>
      <c r="I819" s="19"/>
      <c r="J819" s="19">
        <v>1853.76</v>
      </c>
      <c r="K819" s="19">
        <f t="shared" si="12"/>
        <v>285.76</v>
      </c>
      <c r="L819" s="18"/>
      <c r="M819" s="18"/>
      <c r="N819" s="18"/>
      <c r="O819" s="26" t="s">
        <v>1036</v>
      </c>
    </row>
    <row r="820" spans="1:15" ht="15" x14ac:dyDescent="0.25">
      <c r="A820">
        <v>818</v>
      </c>
      <c r="B820" s="8" t="s">
        <v>726</v>
      </c>
      <c r="C820" s="21" t="s">
        <v>1626</v>
      </c>
      <c r="D820" s="22" t="s">
        <v>16</v>
      </c>
      <c r="E820" s="15">
        <v>1903</v>
      </c>
      <c r="F820" s="23">
        <v>979</v>
      </c>
      <c r="G820" s="24" t="s">
        <v>6</v>
      </c>
      <c r="H820" s="18">
        <v>1</v>
      </c>
      <c r="I820" s="19">
        <f>VLOOKUP(B820,[1]Лист2!$A:$J,10,0)</f>
        <v>1257.845</v>
      </c>
      <c r="J820" s="29">
        <v>1270.42345</v>
      </c>
      <c r="K820" s="19">
        <f t="shared" si="12"/>
        <v>-632.57655</v>
      </c>
      <c r="L820" s="18"/>
      <c r="M820" s="18"/>
      <c r="N820" s="18"/>
      <c r="O820" s="26" t="s">
        <v>1036</v>
      </c>
    </row>
    <row r="821" spans="1:15" ht="15" x14ac:dyDescent="0.25">
      <c r="A821">
        <v>819</v>
      </c>
      <c r="B821" s="7" t="s">
        <v>727</v>
      </c>
      <c r="C821" s="13" t="s">
        <v>1045</v>
      </c>
      <c r="D821" s="14" t="s">
        <v>37</v>
      </c>
      <c r="E821" s="16">
        <v>8692</v>
      </c>
      <c r="F821" s="15">
        <v>14353.79</v>
      </c>
      <c r="G821" s="17" t="s">
        <v>11</v>
      </c>
      <c r="H821" s="18">
        <v>1</v>
      </c>
      <c r="I821" s="19"/>
      <c r="J821" s="19">
        <v>12548</v>
      </c>
      <c r="K821" s="19">
        <f t="shared" si="12"/>
        <v>3856</v>
      </c>
      <c r="L821" s="18"/>
      <c r="M821" s="18"/>
      <c r="N821" s="18"/>
      <c r="O821" s="26" t="s">
        <v>1036</v>
      </c>
    </row>
    <row r="822" spans="1:15" ht="15" x14ac:dyDescent="0.25">
      <c r="A822">
        <v>820</v>
      </c>
      <c r="B822" s="8" t="s">
        <v>728</v>
      </c>
      <c r="C822" s="21" t="s">
        <v>1627</v>
      </c>
      <c r="D822" s="22" t="s">
        <v>267</v>
      </c>
      <c r="E822" s="15">
        <v>2982</v>
      </c>
      <c r="F822" s="23">
        <v>469.58</v>
      </c>
      <c r="G822" s="24" t="s">
        <v>9</v>
      </c>
      <c r="H822" s="18">
        <v>2</v>
      </c>
      <c r="I822" s="19"/>
      <c r="J822" s="19">
        <v>3011.82</v>
      </c>
      <c r="K822" s="19">
        <f t="shared" si="12"/>
        <v>29.820000000000164</v>
      </c>
      <c r="L822" s="18"/>
      <c r="M822" s="18"/>
      <c r="N822" s="18"/>
      <c r="O822" s="26" t="s">
        <v>1036</v>
      </c>
    </row>
    <row r="823" spans="1:15" ht="15" x14ac:dyDescent="0.25">
      <c r="A823">
        <v>821</v>
      </c>
      <c r="B823" s="7" t="s">
        <v>729</v>
      </c>
      <c r="C823" s="13" t="s">
        <v>1628</v>
      </c>
      <c r="D823" s="14" t="s">
        <v>267</v>
      </c>
      <c r="E823" s="15">
        <v>9189</v>
      </c>
      <c r="F823" s="16">
        <v>1262</v>
      </c>
      <c r="G823" s="17" t="s">
        <v>6</v>
      </c>
      <c r="H823" s="18">
        <v>1</v>
      </c>
      <c r="I823" s="19"/>
      <c r="J823" s="19">
        <v>9280.89</v>
      </c>
      <c r="K823" s="19">
        <f t="shared" si="12"/>
        <v>91.889999999999418</v>
      </c>
      <c r="L823" s="18"/>
      <c r="M823" s="18"/>
      <c r="N823" s="18"/>
      <c r="O823" s="26" t="s">
        <v>1036</v>
      </c>
    </row>
    <row r="824" spans="1:15" ht="15" x14ac:dyDescent="0.25">
      <c r="A824">
        <v>822</v>
      </c>
      <c r="B824" s="8" t="s">
        <v>730</v>
      </c>
      <c r="C824" s="21" t="s">
        <v>1629</v>
      </c>
      <c r="D824" s="22" t="s">
        <v>267</v>
      </c>
      <c r="E824" s="23">
        <v>72952</v>
      </c>
      <c r="F824" s="15">
        <v>78555</v>
      </c>
      <c r="G824" s="24" t="s">
        <v>6</v>
      </c>
      <c r="H824" s="18">
        <v>1</v>
      </c>
      <c r="I824" s="19"/>
      <c r="J824" s="19">
        <v>75412.800000000003</v>
      </c>
      <c r="K824" s="19">
        <f t="shared" si="12"/>
        <v>2460.8000000000029</v>
      </c>
      <c r="L824" s="18"/>
      <c r="M824" s="18"/>
      <c r="N824" s="18"/>
      <c r="O824" s="26" t="s">
        <v>1036</v>
      </c>
    </row>
    <row r="825" spans="1:15" ht="15" x14ac:dyDescent="0.25">
      <c r="A825">
        <v>823</v>
      </c>
      <c r="B825" s="7" t="s">
        <v>731</v>
      </c>
      <c r="C825" s="13" t="s">
        <v>1630</v>
      </c>
      <c r="D825" s="14" t="s">
        <v>267</v>
      </c>
      <c r="E825" s="16">
        <v>72952</v>
      </c>
      <c r="F825" s="15">
        <v>89440</v>
      </c>
      <c r="G825" s="17" t="s">
        <v>6</v>
      </c>
      <c r="H825" s="18">
        <v>1</v>
      </c>
      <c r="I825" s="19"/>
      <c r="J825" s="19">
        <v>81862.399999999994</v>
      </c>
      <c r="K825" s="19">
        <f t="shared" si="12"/>
        <v>8910.3999999999942</v>
      </c>
      <c r="L825" s="18"/>
      <c r="M825" s="18"/>
      <c r="N825" s="18"/>
      <c r="O825" s="26" t="s">
        <v>1036</v>
      </c>
    </row>
    <row r="826" spans="1:15" ht="15" x14ac:dyDescent="0.25">
      <c r="A826">
        <v>824</v>
      </c>
      <c r="B826" s="8" t="s">
        <v>732</v>
      </c>
      <c r="C826" s="21" t="s">
        <v>1631</v>
      </c>
      <c r="D826" s="22" t="s">
        <v>16</v>
      </c>
      <c r="E826" s="15">
        <v>1361</v>
      </c>
      <c r="F826" s="23">
        <v>772</v>
      </c>
      <c r="G826" s="24" t="s">
        <v>6</v>
      </c>
      <c r="H826" s="18">
        <v>1</v>
      </c>
      <c r="I826" s="19">
        <f>VLOOKUP(B826,[1]Лист2!$A:$J,10,0)</f>
        <v>756.48</v>
      </c>
      <c r="J826" s="29">
        <v>764.04480000000001</v>
      </c>
      <c r="K826" s="19">
        <f t="shared" si="12"/>
        <v>-596.95519999999999</v>
      </c>
      <c r="L826" s="18"/>
      <c r="M826" s="18"/>
      <c r="N826" s="18"/>
      <c r="O826" s="26" t="s">
        <v>1036</v>
      </c>
    </row>
    <row r="827" spans="1:15" ht="15" x14ac:dyDescent="0.25">
      <c r="A827">
        <v>825</v>
      </c>
      <c r="B827" s="7" t="s">
        <v>732</v>
      </c>
      <c r="C827" s="13" t="s">
        <v>1631</v>
      </c>
      <c r="D827" s="14" t="s">
        <v>16</v>
      </c>
      <c r="E827" s="15">
        <v>1361</v>
      </c>
      <c r="F827" s="16">
        <v>772</v>
      </c>
      <c r="G827" s="17" t="s">
        <v>6</v>
      </c>
      <c r="H827" s="18">
        <v>1</v>
      </c>
      <c r="I827" s="19">
        <f>VLOOKUP(B827,[1]Лист2!$A:$J,10,0)</f>
        <v>756.48</v>
      </c>
      <c r="J827" s="29">
        <v>764.04480000000001</v>
      </c>
      <c r="K827" s="19">
        <f t="shared" si="12"/>
        <v>-596.95519999999999</v>
      </c>
      <c r="L827" s="18"/>
      <c r="M827" s="18"/>
      <c r="N827" s="18"/>
      <c r="O827" s="26" t="s">
        <v>1036</v>
      </c>
    </row>
    <row r="828" spans="1:15" ht="15" x14ac:dyDescent="0.25">
      <c r="A828">
        <v>826</v>
      </c>
      <c r="B828" s="8" t="s">
        <v>733</v>
      </c>
      <c r="C828" s="21" t="s">
        <v>1632</v>
      </c>
      <c r="D828" s="22" t="s">
        <v>16</v>
      </c>
      <c r="E828" s="15">
        <v>1448</v>
      </c>
      <c r="F828" s="23">
        <v>1431</v>
      </c>
      <c r="G828" s="24" t="s">
        <v>6</v>
      </c>
      <c r="H828" s="18">
        <v>1</v>
      </c>
      <c r="I828" s="19">
        <f>VLOOKUP(B828,[1]Лист2!$A:$J,10,0)</f>
        <v>1185.94</v>
      </c>
      <c r="J828" s="19">
        <v>1373.76</v>
      </c>
      <c r="K828" s="19">
        <f t="shared" si="12"/>
        <v>-74.240000000000009</v>
      </c>
      <c r="L828" s="18"/>
      <c r="M828" s="18"/>
      <c r="N828" s="18"/>
      <c r="O828" s="26" t="s">
        <v>1036</v>
      </c>
    </row>
    <row r="829" spans="1:15" ht="15" x14ac:dyDescent="0.25">
      <c r="A829">
        <v>827</v>
      </c>
      <c r="B829" s="7" t="s">
        <v>734</v>
      </c>
      <c r="C829" s="13" t="s">
        <v>1633</v>
      </c>
      <c r="D829" s="14" t="s">
        <v>37</v>
      </c>
      <c r="E829" s="16">
        <v>8616</v>
      </c>
      <c r="F829" s="15">
        <v>11433.6</v>
      </c>
      <c r="G829" s="17" t="s">
        <v>78</v>
      </c>
      <c r="H829" s="18">
        <v>1</v>
      </c>
      <c r="I829" s="19"/>
      <c r="J829" s="19">
        <v>10976.255999999999</v>
      </c>
      <c r="K829" s="19">
        <f t="shared" si="12"/>
        <v>2360.2559999999994</v>
      </c>
      <c r="L829" s="18"/>
      <c r="M829" s="18"/>
      <c r="N829" s="18"/>
      <c r="O829" s="26" t="s">
        <v>1036</v>
      </c>
    </row>
    <row r="830" spans="1:15" ht="15" x14ac:dyDescent="0.25">
      <c r="A830">
        <v>828</v>
      </c>
      <c r="B830" s="8" t="s">
        <v>735</v>
      </c>
      <c r="C830" s="21" t="s">
        <v>1634</v>
      </c>
      <c r="D830" s="22" t="s">
        <v>351</v>
      </c>
      <c r="E830" s="15">
        <v>16649</v>
      </c>
      <c r="F830" s="23">
        <v>15546.24</v>
      </c>
      <c r="G830" s="24" t="s">
        <v>78</v>
      </c>
      <c r="H830" s="18">
        <v>1</v>
      </c>
      <c r="I830" s="19">
        <f>VLOOKUP(B830,[1]Лист2!$A:$J,10,0)</f>
        <v>12736.05</v>
      </c>
      <c r="J830" s="19">
        <v>14924.390399999998</v>
      </c>
      <c r="K830" s="19">
        <f t="shared" si="12"/>
        <v>-1724.6096000000016</v>
      </c>
      <c r="L830" s="18"/>
      <c r="M830" s="18"/>
      <c r="N830" s="18"/>
      <c r="O830" s="26" t="s">
        <v>1036</v>
      </c>
    </row>
    <row r="831" spans="1:15" ht="15" x14ac:dyDescent="0.25">
      <c r="A831">
        <v>829</v>
      </c>
      <c r="B831" s="7" t="s">
        <v>736</v>
      </c>
      <c r="C831" s="13" t="s">
        <v>1635</v>
      </c>
      <c r="D831" s="14" t="s">
        <v>50</v>
      </c>
      <c r="E831" s="16">
        <v>6094</v>
      </c>
      <c r="F831" s="15">
        <v>7216</v>
      </c>
      <c r="G831" s="17" t="s">
        <v>6</v>
      </c>
      <c r="H831" s="18">
        <v>1</v>
      </c>
      <c r="I831" s="19"/>
      <c r="J831" s="19">
        <v>6927.36</v>
      </c>
      <c r="K831" s="19">
        <f t="shared" si="12"/>
        <v>833.35999999999967</v>
      </c>
      <c r="L831" s="18"/>
      <c r="M831" s="18"/>
      <c r="N831" s="18"/>
      <c r="O831" s="26" t="s">
        <v>1036</v>
      </c>
    </row>
    <row r="832" spans="1:15" ht="15" x14ac:dyDescent="0.25">
      <c r="A832">
        <v>830</v>
      </c>
      <c r="B832" s="8" t="s">
        <v>737</v>
      </c>
      <c r="C832" s="21" t="s">
        <v>1636</v>
      </c>
      <c r="D832" s="22" t="s">
        <v>50</v>
      </c>
      <c r="E832" s="15">
        <v>5899</v>
      </c>
      <c r="F832" s="23">
        <v>262</v>
      </c>
      <c r="G832" s="24" t="s">
        <v>6</v>
      </c>
      <c r="H832" s="18">
        <v>1</v>
      </c>
      <c r="I832" s="19">
        <f>VLOOKUP(B832,[1]Лист2!$A:$J,10,0)</f>
        <v>384.15</v>
      </c>
      <c r="J832" s="29">
        <v>2769</v>
      </c>
      <c r="K832" s="19">
        <f t="shared" si="12"/>
        <v>-3130</v>
      </c>
      <c r="L832" s="18"/>
      <c r="M832" s="18"/>
      <c r="N832" s="18"/>
      <c r="O832" s="26" t="s">
        <v>1036</v>
      </c>
    </row>
    <row r="833" spans="1:15" ht="15" x14ac:dyDescent="0.25">
      <c r="A833">
        <v>831</v>
      </c>
      <c r="B833" s="7" t="s">
        <v>738</v>
      </c>
      <c r="C833" s="13" t="s">
        <v>1637</v>
      </c>
      <c r="D833" s="14" t="s">
        <v>50</v>
      </c>
      <c r="E833" s="15">
        <v>2315</v>
      </c>
      <c r="F833" s="16">
        <v>2025</v>
      </c>
      <c r="G833" s="17" t="s">
        <v>6</v>
      </c>
      <c r="H833" s="18">
        <v>1</v>
      </c>
      <c r="I833" s="19">
        <f>VLOOKUP(B833,[1]Лист2!$A:$J,10,0)</f>
        <v>1641.9949999999999</v>
      </c>
      <c r="J833" s="19">
        <v>1944</v>
      </c>
      <c r="K833" s="19">
        <f t="shared" si="12"/>
        <v>-371</v>
      </c>
      <c r="L833" s="18"/>
      <c r="M833" s="18"/>
      <c r="N833" s="18"/>
      <c r="O833" s="26" t="s">
        <v>1036</v>
      </c>
    </row>
    <row r="834" spans="1:15" ht="15" x14ac:dyDescent="0.25">
      <c r="A834">
        <v>832</v>
      </c>
      <c r="B834" s="8" t="s">
        <v>739</v>
      </c>
      <c r="C834" s="21" t="s">
        <v>1638</v>
      </c>
      <c r="D834" s="22" t="s">
        <v>50</v>
      </c>
      <c r="E834" s="23">
        <v>3138</v>
      </c>
      <c r="F834" s="15">
        <v>4057</v>
      </c>
      <c r="G834" s="24" t="s">
        <v>6</v>
      </c>
      <c r="H834" s="18">
        <v>1</v>
      </c>
      <c r="I834" s="19"/>
      <c r="J834" s="19">
        <v>3894.72</v>
      </c>
      <c r="K834" s="19">
        <f t="shared" si="12"/>
        <v>756.7199999999998</v>
      </c>
      <c r="L834" s="18"/>
      <c r="M834" s="18"/>
      <c r="N834" s="18"/>
      <c r="O834" s="26" t="s">
        <v>1036</v>
      </c>
    </row>
    <row r="835" spans="1:15" ht="15" x14ac:dyDescent="0.25">
      <c r="A835">
        <v>833</v>
      </c>
      <c r="B835" s="7" t="s">
        <v>740</v>
      </c>
      <c r="C835" s="13" t="s">
        <v>1639</v>
      </c>
      <c r="D835" s="14" t="s">
        <v>50</v>
      </c>
      <c r="E835" s="16">
        <v>3304</v>
      </c>
      <c r="F835" s="15">
        <v>4059</v>
      </c>
      <c r="G835" s="17" t="s">
        <v>6</v>
      </c>
      <c r="H835" s="18">
        <v>1</v>
      </c>
      <c r="I835" s="19"/>
      <c r="J835" s="19">
        <v>3896.64</v>
      </c>
      <c r="K835" s="19">
        <f t="shared" ref="K835:K898" si="13">J835-E835</f>
        <v>592.63999999999987</v>
      </c>
      <c r="L835" s="18"/>
      <c r="M835" s="18"/>
      <c r="N835" s="18"/>
      <c r="O835" s="26" t="s">
        <v>1036</v>
      </c>
    </row>
    <row r="836" spans="1:15" ht="15" x14ac:dyDescent="0.25">
      <c r="A836">
        <v>834</v>
      </c>
      <c r="B836" s="8" t="s">
        <v>741</v>
      </c>
      <c r="C836" s="21" t="s">
        <v>1640</v>
      </c>
      <c r="D836" s="22" t="s">
        <v>24</v>
      </c>
      <c r="E836" s="23">
        <v>8645</v>
      </c>
      <c r="F836" s="15">
        <v>13901</v>
      </c>
      <c r="G836" s="24" t="s">
        <v>6</v>
      </c>
      <c r="H836" s="18">
        <v>1</v>
      </c>
      <c r="I836" s="19">
        <f>VLOOKUP(B836,[1]Лист2!$A:$J,10,0)</f>
        <v>8288.7749999999996</v>
      </c>
      <c r="J836" s="19">
        <v>11056</v>
      </c>
      <c r="K836" s="19">
        <f t="shared" si="13"/>
        <v>2411</v>
      </c>
      <c r="L836" s="18"/>
      <c r="M836" s="18"/>
      <c r="N836" s="18"/>
      <c r="O836" s="26" t="s">
        <v>1036</v>
      </c>
    </row>
    <row r="837" spans="1:15" ht="15" x14ac:dyDescent="0.25">
      <c r="A837">
        <v>835</v>
      </c>
      <c r="B837" s="7" t="s">
        <v>742</v>
      </c>
      <c r="C837" s="13" t="s">
        <v>1641</v>
      </c>
      <c r="D837" s="14" t="s">
        <v>24</v>
      </c>
      <c r="E837" s="15">
        <v>4221</v>
      </c>
      <c r="F837" s="16">
        <v>845</v>
      </c>
      <c r="G837" s="17" t="s">
        <v>6</v>
      </c>
      <c r="H837" s="18">
        <v>1</v>
      </c>
      <c r="I837" s="19"/>
      <c r="J837" s="19">
        <v>4263.21</v>
      </c>
      <c r="K837" s="19">
        <f t="shared" si="13"/>
        <v>42.210000000000036</v>
      </c>
      <c r="L837" s="18"/>
      <c r="M837" s="18"/>
      <c r="N837" s="18"/>
      <c r="O837" s="26" t="s">
        <v>1036</v>
      </c>
    </row>
    <row r="838" spans="1:15" ht="15" x14ac:dyDescent="0.25">
      <c r="A838">
        <v>836</v>
      </c>
      <c r="B838" s="8" t="s">
        <v>743</v>
      </c>
      <c r="C838" s="21" t="s">
        <v>1642</v>
      </c>
      <c r="D838" s="22" t="s">
        <v>16</v>
      </c>
      <c r="E838" s="23">
        <v>6196</v>
      </c>
      <c r="F838" s="15">
        <v>7326</v>
      </c>
      <c r="G838" s="24" t="s">
        <v>6</v>
      </c>
      <c r="H838" s="18">
        <v>1</v>
      </c>
      <c r="I838" s="19">
        <f>VLOOKUP(B838,[1]Лист2!$A:$J,10,0)</f>
        <v>4267.0199999999995</v>
      </c>
      <c r="J838" s="19">
        <v>7032.96</v>
      </c>
      <c r="K838" s="19">
        <f t="shared" si="13"/>
        <v>836.96</v>
      </c>
      <c r="L838" s="18"/>
      <c r="M838" s="18"/>
      <c r="N838" s="18"/>
      <c r="O838" s="26" t="s">
        <v>1036</v>
      </c>
    </row>
    <row r="839" spans="1:15" ht="15" x14ac:dyDescent="0.25">
      <c r="A839">
        <v>837</v>
      </c>
      <c r="B839" s="7" t="s">
        <v>743</v>
      </c>
      <c r="C839" s="13" t="s">
        <v>1642</v>
      </c>
      <c r="D839" s="14" t="s">
        <v>16</v>
      </c>
      <c r="E839" s="16">
        <v>5741</v>
      </c>
      <c r="F839" s="15">
        <v>7326</v>
      </c>
      <c r="G839" s="17" t="s">
        <v>6</v>
      </c>
      <c r="H839" s="18">
        <v>1</v>
      </c>
      <c r="I839" s="19">
        <f>VLOOKUP(B839,[1]Лист2!$A:$J,10,0)</f>
        <v>4267.0199999999995</v>
      </c>
      <c r="J839" s="19">
        <v>7032.96</v>
      </c>
      <c r="K839" s="19">
        <f t="shared" si="13"/>
        <v>1291.96</v>
      </c>
      <c r="L839" s="18"/>
      <c r="M839" s="18"/>
      <c r="N839" s="18"/>
      <c r="O839" s="26" t="s">
        <v>1036</v>
      </c>
    </row>
    <row r="840" spans="1:15" ht="15" x14ac:dyDescent="0.25">
      <c r="A840">
        <v>838</v>
      </c>
      <c r="B840" s="8" t="s">
        <v>744</v>
      </c>
      <c r="C840" s="21" t="s">
        <v>1643</v>
      </c>
      <c r="D840" s="22" t="s">
        <v>16</v>
      </c>
      <c r="E840" s="15">
        <v>4576</v>
      </c>
      <c r="F840" s="23">
        <v>4139</v>
      </c>
      <c r="G840" s="24" t="s">
        <v>6</v>
      </c>
      <c r="H840" s="18">
        <v>1</v>
      </c>
      <c r="I840" s="19">
        <f>VLOOKUP(B840,[1]Лист2!$A:$J,10,0)</f>
        <v>546.67499999999995</v>
      </c>
      <c r="J840" s="19">
        <v>3973.44</v>
      </c>
      <c r="K840" s="19">
        <f t="shared" si="13"/>
        <v>-602.55999999999995</v>
      </c>
      <c r="L840" s="18"/>
      <c r="M840" s="18"/>
      <c r="N840" s="18"/>
      <c r="O840" s="26" t="s">
        <v>1036</v>
      </c>
    </row>
    <row r="841" spans="1:15" ht="15" x14ac:dyDescent="0.25">
      <c r="A841">
        <v>839</v>
      </c>
      <c r="B841" s="7" t="s">
        <v>745</v>
      </c>
      <c r="C841" s="13" t="s">
        <v>1644</v>
      </c>
      <c r="D841" s="14" t="s">
        <v>16</v>
      </c>
      <c r="E841" s="15">
        <v>1356</v>
      </c>
      <c r="F841" s="16">
        <v>674</v>
      </c>
      <c r="G841" s="17" t="s">
        <v>6</v>
      </c>
      <c r="H841" s="18">
        <v>1</v>
      </c>
      <c r="I841" s="19">
        <f>VLOOKUP(B841,[1]Лист2!$A:$J,10,0)</f>
        <v>781.10500000000002</v>
      </c>
      <c r="J841" s="29">
        <v>788.91605000000004</v>
      </c>
      <c r="K841" s="19">
        <f t="shared" si="13"/>
        <v>-567.08394999999996</v>
      </c>
      <c r="L841" s="18"/>
      <c r="M841" s="18"/>
      <c r="N841" s="18"/>
      <c r="O841" s="26" t="s">
        <v>1036</v>
      </c>
    </row>
    <row r="842" spans="1:15" ht="15" x14ac:dyDescent="0.25">
      <c r="A842">
        <v>840</v>
      </c>
      <c r="B842" s="8" t="s">
        <v>746</v>
      </c>
      <c r="C842" s="21" t="s">
        <v>1045</v>
      </c>
      <c r="D842" s="22" t="s">
        <v>16</v>
      </c>
      <c r="E842" s="15">
        <v>221065</v>
      </c>
      <c r="F842" s="23">
        <v>117535</v>
      </c>
      <c r="G842" s="24" t="s">
        <v>6</v>
      </c>
      <c r="H842" s="18">
        <v>1</v>
      </c>
      <c r="I842" s="19">
        <f>VLOOKUP(B842,[1]Лист2!$A:$J,10,0)</f>
        <v>119319.94499999999</v>
      </c>
      <c r="J842" s="29">
        <v>130150</v>
      </c>
      <c r="K842" s="19">
        <f t="shared" si="13"/>
        <v>-90915</v>
      </c>
      <c r="L842" s="18"/>
      <c r="M842" s="18"/>
      <c r="N842" s="18"/>
      <c r="O842" s="26" t="s">
        <v>1036</v>
      </c>
    </row>
    <row r="843" spans="1:15" ht="15" x14ac:dyDescent="0.25">
      <c r="A843">
        <v>841</v>
      </c>
      <c r="B843" s="7" t="s">
        <v>747</v>
      </c>
      <c r="C843" s="13" t="s">
        <v>1045</v>
      </c>
      <c r="D843" s="14" t="s">
        <v>16</v>
      </c>
      <c r="E843" s="15">
        <v>48943</v>
      </c>
      <c r="F843" s="16">
        <v>41151</v>
      </c>
      <c r="G843" s="17" t="s">
        <v>6</v>
      </c>
      <c r="H843" s="18">
        <v>1</v>
      </c>
      <c r="I843" s="19">
        <f>VLOOKUP(B843,[1]Лист2!$A:$J,10,0)</f>
        <v>41176.94</v>
      </c>
      <c r="J843" s="29">
        <v>41588.7094</v>
      </c>
      <c r="K843" s="19">
        <f t="shared" si="13"/>
        <v>-7354.2906000000003</v>
      </c>
      <c r="L843" s="18"/>
      <c r="M843" s="18"/>
      <c r="N843" s="18"/>
      <c r="O843" s="26" t="s">
        <v>1036</v>
      </c>
    </row>
    <row r="844" spans="1:15" ht="15" x14ac:dyDescent="0.25">
      <c r="A844">
        <v>842</v>
      </c>
      <c r="B844" s="8" t="s">
        <v>747</v>
      </c>
      <c r="C844" s="21" t="s">
        <v>1045</v>
      </c>
      <c r="D844" s="22" t="s">
        <v>16</v>
      </c>
      <c r="E844" s="15">
        <v>48943</v>
      </c>
      <c r="F844" s="23">
        <v>41151</v>
      </c>
      <c r="G844" s="24" t="s">
        <v>6</v>
      </c>
      <c r="H844" s="18">
        <v>1</v>
      </c>
      <c r="I844" s="19">
        <f>VLOOKUP(B844,[1]Лист2!$A:$J,10,0)</f>
        <v>41176.94</v>
      </c>
      <c r="J844" s="29">
        <v>41588.7094</v>
      </c>
      <c r="K844" s="19">
        <f t="shared" si="13"/>
        <v>-7354.2906000000003</v>
      </c>
      <c r="L844" s="18"/>
      <c r="M844" s="18"/>
      <c r="N844" s="18"/>
      <c r="O844" s="26" t="s">
        <v>1036</v>
      </c>
    </row>
    <row r="845" spans="1:15" ht="15" x14ac:dyDescent="0.25">
      <c r="A845">
        <v>843</v>
      </c>
      <c r="B845" s="7" t="s">
        <v>747</v>
      </c>
      <c r="C845" s="13" t="s">
        <v>1045</v>
      </c>
      <c r="D845" s="14" t="s">
        <v>16</v>
      </c>
      <c r="E845" s="15">
        <v>48943</v>
      </c>
      <c r="F845" s="16">
        <v>41151</v>
      </c>
      <c r="G845" s="17" t="s">
        <v>6</v>
      </c>
      <c r="H845" s="18">
        <v>1</v>
      </c>
      <c r="I845" s="19">
        <f>VLOOKUP(B845,[1]Лист2!$A:$J,10,0)</f>
        <v>41176.94</v>
      </c>
      <c r="J845" s="29">
        <v>41588.7094</v>
      </c>
      <c r="K845" s="19">
        <f t="shared" si="13"/>
        <v>-7354.2906000000003</v>
      </c>
      <c r="L845" s="18"/>
      <c r="M845" s="18"/>
      <c r="N845" s="18"/>
      <c r="O845" s="26" t="s">
        <v>1036</v>
      </c>
    </row>
    <row r="846" spans="1:15" ht="15" x14ac:dyDescent="0.25">
      <c r="A846">
        <v>844</v>
      </c>
      <c r="B846" s="8" t="s">
        <v>747</v>
      </c>
      <c r="C846" s="21" t="s">
        <v>1045</v>
      </c>
      <c r="D846" s="22" t="s">
        <v>16</v>
      </c>
      <c r="E846" s="15">
        <v>48943</v>
      </c>
      <c r="F846" s="23">
        <v>41151</v>
      </c>
      <c r="G846" s="24" t="s">
        <v>6</v>
      </c>
      <c r="H846" s="18">
        <v>1</v>
      </c>
      <c r="I846" s="19">
        <f>VLOOKUP(B846,[1]Лист2!$A:$J,10,0)</f>
        <v>41176.94</v>
      </c>
      <c r="J846" s="29">
        <v>41588.7094</v>
      </c>
      <c r="K846" s="19">
        <f t="shared" si="13"/>
        <v>-7354.2906000000003</v>
      </c>
      <c r="L846" s="18"/>
      <c r="M846" s="18"/>
      <c r="N846" s="18"/>
      <c r="O846" s="26" t="s">
        <v>1036</v>
      </c>
    </row>
    <row r="847" spans="1:15" ht="15" x14ac:dyDescent="0.25">
      <c r="A847">
        <v>845</v>
      </c>
      <c r="B847" s="7" t="s">
        <v>747</v>
      </c>
      <c r="C847" s="13" t="s">
        <v>1045</v>
      </c>
      <c r="D847" s="14" t="s">
        <v>16</v>
      </c>
      <c r="E847" s="15">
        <v>48943</v>
      </c>
      <c r="F847" s="16">
        <v>41151</v>
      </c>
      <c r="G847" s="17" t="s">
        <v>6</v>
      </c>
      <c r="H847" s="18">
        <v>1</v>
      </c>
      <c r="I847" s="19">
        <f>VLOOKUP(B847,[1]Лист2!$A:$J,10,0)</f>
        <v>41176.94</v>
      </c>
      <c r="J847" s="29">
        <v>41588.7094</v>
      </c>
      <c r="K847" s="19">
        <f t="shared" si="13"/>
        <v>-7354.2906000000003</v>
      </c>
      <c r="L847" s="18"/>
      <c r="M847" s="18"/>
      <c r="N847" s="18"/>
      <c r="O847" s="26" t="s">
        <v>1036</v>
      </c>
    </row>
    <row r="848" spans="1:15" ht="15" x14ac:dyDescent="0.25">
      <c r="A848">
        <v>846</v>
      </c>
      <c r="B848" s="8" t="s">
        <v>747</v>
      </c>
      <c r="C848" s="21" t="s">
        <v>1045</v>
      </c>
      <c r="D848" s="22" t="s">
        <v>16</v>
      </c>
      <c r="E848" s="15">
        <v>48943</v>
      </c>
      <c r="F848" s="23">
        <v>41151</v>
      </c>
      <c r="G848" s="24" t="s">
        <v>6</v>
      </c>
      <c r="H848" s="18">
        <v>1</v>
      </c>
      <c r="I848" s="19">
        <f>VLOOKUP(B848,[1]Лист2!$A:$J,10,0)</f>
        <v>41176.94</v>
      </c>
      <c r="J848" s="29">
        <v>41588.7094</v>
      </c>
      <c r="K848" s="19">
        <f t="shared" si="13"/>
        <v>-7354.2906000000003</v>
      </c>
      <c r="L848" s="18"/>
      <c r="M848" s="18"/>
      <c r="N848" s="18"/>
      <c r="O848" s="26" t="s">
        <v>1036</v>
      </c>
    </row>
    <row r="849" spans="1:15" ht="15" x14ac:dyDescent="0.25">
      <c r="A849">
        <v>847</v>
      </c>
      <c r="B849" s="7" t="s">
        <v>748</v>
      </c>
      <c r="C849" s="13" t="s">
        <v>1050</v>
      </c>
      <c r="D849" s="14" t="s">
        <v>16</v>
      </c>
      <c r="E849" s="15">
        <v>59998</v>
      </c>
      <c r="F849" s="16">
        <v>24365</v>
      </c>
      <c r="G849" s="17" t="s">
        <v>6</v>
      </c>
      <c r="H849" s="18">
        <v>1</v>
      </c>
      <c r="I849" s="19">
        <f>VLOOKUP(B849,[1]Лист2!$A:$J,10,0)</f>
        <v>19865.48</v>
      </c>
      <c r="J849" s="19">
        <v>28990</v>
      </c>
      <c r="K849" s="19">
        <f t="shared" si="13"/>
        <v>-31008</v>
      </c>
      <c r="L849" s="18"/>
      <c r="M849" s="18"/>
      <c r="N849" s="18"/>
      <c r="O849" s="26" t="s">
        <v>1036</v>
      </c>
    </row>
    <row r="850" spans="1:15" ht="15" x14ac:dyDescent="0.25">
      <c r="A850">
        <v>848</v>
      </c>
      <c r="B850" s="8" t="s">
        <v>748</v>
      </c>
      <c r="C850" s="21" t="s">
        <v>1050</v>
      </c>
      <c r="D850" s="22" t="s">
        <v>16</v>
      </c>
      <c r="E850" s="15">
        <v>59998</v>
      </c>
      <c r="F850" s="23">
        <v>24365</v>
      </c>
      <c r="G850" s="24" t="s">
        <v>6</v>
      </c>
      <c r="H850" s="18">
        <v>1</v>
      </c>
      <c r="I850" s="19">
        <f>VLOOKUP(B850,[1]Лист2!$A:$J,10,0)</f>
        <v>19865.48</v>
      </c>
      <c r="J850" s="19">
        <v>28990</v>
      </c>
      <c r="K850" s="19">
        <f t="shared" si="13"/>
        <v>-31008</v>
      </c>
      <c r="L850" s="18"/>
      <c r="M850" s="18"/>
      <c r="N850" s="18"/>
      <c r="O850" s="26" t="s">
        <v>1036</v>
      </c>
    </row>
    <row r="851" spans="1:15" ht="15" x14ac:dyDescent="0.25">
      <c r="A851">
        <v>849</v>
      </c>
      <c r="B851" s="7" t="s">
        <v>748</v>
      </c>
      <c r="C851" s="13" t="s">
        <v>1050</v>
      </c>
      <c r="D851" s="14" t="s">
        <v>16</v>
      </c>
      <c r="E851" s="15">
        <v>59998</v>
      </c>
      <c r="F851" s="16">
        <v>24365</v>
      </c>
      <c r="G851" s="17" t="s">
        <v>6</v>
      </c>
      <c r="H851" s="18">
        <v>1</v>
      </c>
      <c r="I851" s="19">
        <f>VLOOKUP(B851,[1]Лист2!$A:$J,10,0)</f>
        <v>19865.48</v>
      </c>
      <c r="J851" s="19">
        <v>28990</v>
      </c>
      <c r="K851" s="19">
        <f t="shared" si="13"/>
        <v>-31008</v>
      </c>
      <c r="L851" s="18"/>
      <c r="M851" s="18"/>
      <c r="N851" s="18"/>
      <c r="O851" s="26" t="s">
        <v>1036</v>
      </c>
    </row>
    <row r="852" spans="1:15" ht="15" x14ac:dyDescent="0.25">
      <c r="A852">
        <v>850</v>
      </c>
      <c r="B852" s="8" t="s">
        <v>748</v>
      </c>
      <c r="C852" s="21" t="s">
        <v>1050</v>
      </c>
      <c r="D852" s="22" t="s">
        <v>16</v>
      </c>
      <c r="E852" s="15">
        <v>59998</v>
      </c>
      <c r="F852" s="23">
        <v>24365</v>
      </c>
      <c r="G852" s="24" t="s">
        <v>6</v>
      </c>
      <c r="H852" s="18">
        <v>1</v>
      </c>
      <c r="I852" s="19">
        <f>VLOOKUP(B852,[1]Лист2!$A:$J,10,0)</f>
        <v>19865.48</v>
      </c>
      <c r="J852" s="19">
        <v>28990</v>
      </c>
      <c r="K852" s="19">
        <f t="shared" si="13"/>
        <v>-31008</v>
      </c>
      <c r="L852" s="18"/>
      <c r="M852" s="18"/>
      <c r="N852" s="18"/>
      <c r="O852" s="26" t="s">
        <v>1036</v>
      </c>
    </row>
    <row r="853" spans="1:15" ht="15" x14ac:dyDescent="0.25">
      <c r="A853">
        <v>851</v>
      </c>
      <c r="B853" s="7" t="s">
        <v>748</v>
      </c>
      <c r="C853" s="13" t="s">
        <v>1050</v>
      </c>
      <c r="D853" s="14" t="s">
        <v>16</v>
      </c>
      <c r="E853" s="15">
        <v>59998</v>
      </c>
      <c r="F853" s="16">
        <v>24365</v>
      </c>
      <c r="G853" s="17" t="s">
        <v>6</v>
      </c>
      <c r="H853" s="18">
        <v>1</v>
      </c>
      <c r="I853" s="19">
        <f>VLOOKUP(B853,[1]Лист2!$A:$J,10,0)</f>
        <v>19865.48</v>
      </c>
      <c r="J853" s="19">
        <v>28990</v>
      </c>
      <c r="K853" s="19">
        <f t="shared" si="13"/>
        <v>-31008</v>
      </c>
      <c r="L853" s="18"/>
      <c r="M853" s="18"/>
      <c r="N853" s="18"/>
      <c r="O853" s="26" t="s">
        <v>1036</v>
      </c>
    </row>
    <row r="854" spans="1:15" ht="15" x14ac:dyDescent="0.25">
      <c r="A854">
        <v>852</v>
      </c>
      <c r="B854" s="8" t="s">
        <v>748</v>
      </c>
      <c r="C854" s="21" t="s">
        <v>1050</v>
      </c>
      <c r="D854" s="22" t="s">
        <v>16</v>
      </c>
      <c r="E854" s="15">
        <v>59998</v>
      </c>
      <c r="F854" s="23">
        <v>24365</v>
      </c>
      <c r="G854" s="24" t="s">
        <v>6</v>
      </c>
      <c r="H854" s="18">
        <v>1</v>
      </c>
      <c r="I854" s="19">
        <f>VLOOKUP(B854,[1]Лист2!$A:$J,10,0)</f>
        <v>19865.48</v>
      </c>
      <c r="J854" s="19">
        <v>28990</v>
      </c>
      <c r="K854" s="19">
        <f t="shared" si="13"/>
        <v>-31008</v>
      </c>
      <c r="L854" s="18"/>
      <c r="M854" s="18"/>
      <c r="N854" s="18"/>
      <c r="O854" s="26" t="s">
        <v>1036</v>
      </c>
    </row>
    <row r="855" spans="1:15" ht="15" x14ac:dyDescent="0.25">
      <c r="A855">
        <v>853</v>
      </c>
      <c r="B855" s="7" t="s">
        <v>748</v>
      </c>
      <c r="C855" s="13" t="s">
        <v>1050</v>
      </c>
      <c r="D855" s="14" t="s">
        <v>16</v>
      </c>
      <c r="E855" s="15">
        <v>59998</v>
      </c>
      <c r="F855" s="16">
        <v>24365</v>
      </c>
      <c r="G855" s="17" t="s">
        <v>6</v>
      </c>
      <c r="H855" s="18">
        <v>1</v>
      </c>
      <c r="I855" s="19">
        <f>VLOOKUP(B855,[1]Лист2!$A:$J,10,0)</f>
        <v>19865.48</v>
      </c>
      <c r="J855" s="19">
        <v>28990</v>
      </c>
      <c r="K855" s="19">
        <f t="shared" si="13"/>
        <v>-31008</v>
      </c>
      <c r="L855" s="18"/>
      <c r="M855" s="18"/>
      <c r="N855" s="18"/>
      <c r="O855" s="26" t="s">
        <v>1036</v>
      </c>
    </row>
    <row r="856" spans="1:15" ht="15" x14ac:dyDescent="0.25">
      <c r="A856">
        <v>854</v>
      </c>
      <c r="B856" s="8" t="s">
        <v>749</v>
      </c>
      <c r="C856" s="21" t="s">
        <v>1045</v>
      </c>
      <c r="D856" s="22" t="s">
        <v>16</v>
      </c>
      <c r="E856" s="15">
        <v>44137</v>
      </c>
      <c r="F856" s="23">
        <v>36281</v>
      </c>
      <c r="G856" s="24" t="s">
        <v>6</v>
      </c>
      <c r="H856" s="18">
        <v>1</v>
      </c>
      <c r="I856" s="19">
        <f>VLOOKUP(B856,[1]Лист2!$A:$J,10,0)</f>
        <v>33049.705000000002</v>
      </c>
      <c r="J856" s="19">
        <v>34829.760000000002</v>
      </c>
      <c r="K856" s="19">
        <f t="shared" si="13"/>
        <v>-9307.239999999998</v>
      </c>
      <c r="L856" s="18"/>
      <c r="M856" s="18"/>
      <c r="N856" s="18"/>
      <c r="O856" s="26" t="s">
        <v>1036</v>
      </c>
    </row>
    <row r="857" spans="1:15" ht="15" x14ac:dyDescent="0.25">
      <c r="A857">
        <v>855</v>
      </c>
      <c r="B857" s="7" t="s">
        <v>750</v>
      </c>
      <c r="C857" s="13" t="s">
        <v>1645</v>
      </c>
      <c r="D857" s="14" t="s">
        <v>16</v>
      </c>
      <c r="E857" s="15">
        <v>2299</v>
      </c>
      <c r="F857" s="16">
        <v>759</v>
      </c>
      <c r="G857" s="17" t="s">
        <v>6</v>
      </c>
      <c r="H857" s="18">
        <v>1</v>
      </c>
      <c r="I857" s="19">
        <f>VLOOKUP(B857,[1]Лист2!$A:$J,10,0)</f>
        <v>836.26499999999999</v>
      </c>
      <c r="J857" s="29">
        <v>844.62765000000002</v>
      </c>
      <c r="K857" s="19">
        <f t="shared" si="13"/>
        <v>-1454.3723500000001</v>
      </c>
      <c r="L857" s="18"/>
      <c r="M857" s="18"/>
      <c r="N857" s="18"/>
      <c r="O857" s="26" t="s">
        <v>1036</v>
      </c>
    </row>
    <row r="858" spans="1:15" ht="15" x14ac:dyDescent="0.25">
      <c r="A858">
        <v>856</v>
      </c>
      <c r="B858" s="8" t="s">
        <v>751</v>
      </c>
      <c r="C858" s="21" t="s">
        <v>1271</v>
      </c>
      <c r="D858" s="22" t="s">
        <v>16</v>
      </c>
      <c r="E858" s="15">
        <v>3160</v>
      </c>
      <c r="F858" s="23">
        <v>2673</v>
      </c>
      <c r="G858" s="24" t="s">
        <v>6</v>
      </c>
      <c r="H858" s="18">
        <v>1</v>
      </c>
      <c r="I858" s="19">
        <f>VLOOKUP(B858,[1]Лист2!$A:$J,10,0)</f>
        <v>2659.5</v>
      </c>
      <c r="J858" s="29">
        <v>2686.0949999999998</v>
      </c>
      <c r="K858" s="19">
        <f t="shared" si="13"/>
        <v>-473.9050000000002</v>
      </c>
      <c r="L858" s="18"/>
      <c r="M858" s="18"/>
      <c r="N858" s="18"/>
      <c r="O858" s="26" t="s">
        <v>1036</v>
      </c>
    </row>
    <row r="859" spans="1:15" ht="15" x14ac:dyDescent="0.25">
      <c r="A859">
        <v>857</v>
      </c>
      <c r="B859" s="7" t="s">
        <v>752</v>
      </c>
      <c r="C859" s="13" t="s">
        <v>1646</v>
      </c>
      <c r="D859" s="14" t="s">
        <v>16</v>
      </c>
      <c r="E859" s="15">
        <v>2229</v>
      </c>
      <c r="F859" s="16">
        <v>671</v>
      </c>
      <c r="G859" s="17" t="s">
        <v>6</v>
      </c>
      <c r="H859" s="18">
        <v>1</v>
      </c>
      <c r="I859" s="19">
        <f>VLOOKUP(B859,[1]Лист2!$A:$J,10,0)</f>
        <v>791.93999999999994</v>
      </c>
      <c r="J859" s="29">
        <v>799.85939999999994</v>
      </c>
      <c r="K859" s="19">
        <f t="shared" si="13"/>
        <v>-1429.1406000000002</v>
      </c>
      <c r="L859" s="18"/>
      <c r="M859" s="18"/>
      <c r="N859" s="18"/>
      <c r="O859" s="26" t="s">
        <v>1036</v>
      </c>
    </row>
    <row r="860" spans="1:15" ht="15" x14ac:dyDescent="0.25">
      <c r="A860">
        <v>858</v>
      </c>
      <c r="B860" s="8" t="s">
        <v>753</v>
      </c>
      <c r="C860" s="21" t="s">
        <v>1647</v>
      </c>
      <c r="D860" s="22" t="s">
        <v>16</v>
      </c>
      <c r="E860" s="23">
        <v>1031</v>
      </c>
      <c r="F860" s="15">
        <v>1273</v>
      </c>
      <c r="G860" s="24" t="s">
        <v>6</v>
      </c>
      <c r="H860" s="18">
        <v>2</v>
      </c>
      <c r="I860" s="19"/>
      <c r="J860" s="19">
        <v>1222.08</v>
      </c>
      <c r="K860" s="19">
        <f t="shared" si="13"/>
        <v>191.07999999999993</v>
      </c>
      <c r="L860" s="18"/>
      <c r="M860" s="18"/>
      <c r="N860" s="18"/>
      <c r="O860" s="26" t="s">
        <v>1036</v>
      </c>
    </row>
    <row r="861" spans="1:15" ht="15" x14ac:dyDescent="0.25">
      <c r="A861">
        <v>859</v>
      </c>
      <c r="B861" s="7" t="s">
        <v>754</v>
      </c>
      <c r="C861" s="13" t="s">
        <v>1648</v>
      </c>
      <c r="D861" s="14" t="s">
        <v>16</v>
      </c>
      <c r="E861" s="16">
        <v>1029</v>
      </c>
      <c r="F861" s="15">
        <v>1271</v>
      </c>
      <c r="G861" s="17" t="s">
        <v>6</v>
      </c>
      <c r="H861" s="18">
        <v>2</v>
      </c>
      <c r="I861" s="19"/>
      <c r="J861" s="19">
        <v>1220.1599999999999</v>
      </c>
      <c r="K861" s="19">
        <f t="shared" si="13"/>
        <v>191.15999999999985</v>
      </c>
      <c r="L861" s="18"/>
      <c r="M861" s="18"/>
      <c r="N861" s="18"/>
      <c r="O861" s="26" t="s">
        <v>1036</v>
      </c>
    </row>
    <row r="862" spans="1:15" ht="15" x14ac:dyDescent="0.25">
      <c r="A862">
        <v>860</v>
      </c>
      <c r="B862" s="8" t="s">
        <v>755</v>
      </c>
      <c r="C862" s="21" t="s">
        <v>1178</v>
      </c>
      <c r="D862" s="22" t="s">
        <v>16</v>
      </c>
      <c r="E862" s="15">
        <v>2040</v>
      </c>
      <c r="F862" s="23">
        <v>673</v>
      </c>
      <c r="G862" s="24" t="s">
        <v>6</v>
      </c>
      <c r="H862" s="18">
        <v>3</v>
      </c>
      <c r="I862" s="19">
        <f>VLOOKUP(B862,[1]Лист2!$A:$J,10,0)</f>
        <v>640.25</v>
      </c>
      <c r="J862" s="19">
        <v>646.07999999999993</v>
      </c>
      <c r="K862" s="19">
        <f t="shared" si="13"/>
        <v>-1393.92</v>
      </c>
      <c r="L862" s="18"/>
      <c r="M862" s="18"/>
      <c r="N862" s="18"/>
      <c r="O862" s="26" t="s">
        <v>1036</v>
      </c>
    </row>
    <row r="863" spans="1:15" ht="15" x14ac:dyDescent="0.25">
      <c r="A863">
        <v>861</v>
      </c>
      <c r="B863" s="7" t="s">
        <v>756</v>
      </c>
      <c r="C863" s="13" t="s">
        <v>1649</v>
      </c>
      <c r="D863" s="14" t="s">
        <v>16</v>
      </c>
      <c r="E863" s="16">
        <v>1048</v>
      </c>
      <c r="F863" s="15">
        <v>1264</v>
      </c>
      <c r="G863" s="17" t="s">
        <v>6</v>
      </c>
      <c r="H863" s="18">
        <v>1</v>
      </c>
      <c r="I863" s="19"/>
      <c r="J863" s="19">
        <v>1213.44</v>
      </c>
      <c r="K863" s="19">
        <f t="shared" si="13"/>
        <v>165.44000000000005</v>
      </c>
      <c r="L863" s="18"/>
      <c r="M863" s="18"/>
      <c r="N863" s="18"/>
      <c r="O863" s="26" t="s">
        <v>1036</v>
      </c>
    </row>
    <row r="864" spans="1:15" ht="15" x14ac:dyDescent="0.25">
      <c r="A864">
        <v>862</v>
      </c>
      <c r="B864" s="8" t="s">
        <v>757</v>
      </c>
      <c r="C864" s="21" t="s">
        <v>1265</v>
      </c>
      <c r="D864" s="22" t="s">
        <v>16</v>
      </c>
      <c r="E864" s="15">
        <v>20563</v>
      </c>
      <c r="F864" s="23">
        <v>15580</v>
      </c>
      <c r="G864" s="24" t="s">
        <v>6</v>
      </c>
      <c r="H864" s="18">
        <v>1</v>
      </c>
      <c r="I864" s="19">
        <f>VLOOKUP(B864,[1]Лист2!$A:$J,10,0)</f>
        <v>14382.97</v>
      </c>
      <c r="J864" s="19">
        <v>14956.8</v>
      </c>
      <c r="K864" s="19">
        <f t="shared" si="13"/>
        <v>-5606.2000000000007</v>
      </c>
      <c r="L864" s="18"/>
      <c r="M864" s="18"/>
      <c r="N864" s="18"/>
      <c r="O864" s="26" t="s">
        <v>1036</v>
      </c>
    </row>
    <row r="865" spans="1:15" ht="15" x14ac:dyDescent="0.25">
      <c r="A865">
        <v>863</v>
      </c>
      <c r="B865" s="7" t="s">
        <v>757</v>
      </c>
      <c r="C865" s="13" t="s">
        <v>1265</v>
      </c>
      <c r="D865" s="14" t="s">
        <v>16</v>
      </c>
      <c r="E865" s="15">
        <v>20563</v>
      </c>
      <c r="F865" s="16">
        <v>15580</v>
      </c>
      <c r="G865" s="17" t="s">
        <v>6</v>
      </c>
      <c r="H865" s="18">
        <v>1</v>
      </c>
      <c r="I865" s="19">
        <f>VLOOKUP(B865,[1]Лист2!$A:$J,10,0)</f>
        <v>14382.97</v>
      </c>
      <c r="J865" s="19">
        <v>14956.8</v>
      </c>
      <c r="K865" s="19">
        <f t="shared" si="13"/>
        <v>-5606.2000000000007</v>
      </c>
      <c r="L865" s="18"/>
      <c r="M865" s="18"/>
      <c r="N865" s="18"/>
      <c r="O865" s="26" t="s">
        <v>1036</v>
      </c>
    </row>
    <row r="866" spans="1:15" ht="15" x14ac:dyDescent="0.25">
      <c r="A866">
        <v>864</v>
      </c>
      <c r="B866" s="8" t="s">
        <v>758</v>
      </c>
      <c r="C866" s="21" t="s">
        <v>1265</v>
      </c>
      <c r="D866" s="22" t="s">
        <v>16</v>
      </c>
      <c r="E866" s="23">
        <v>4580</v>
      </c>
      <c r="F866" s="15">
        <v>4805</v>
      </c>
      <c r="G866" s="24" t="s">
        <v>6</v>
      </c>
      <c r="H866" s="18">
        <v>1</v>
      </c>
      <c r="I866" s="19"/>
      <c r="J866" s="19">
        <v>4612.8</v>
      </c>
      <c r="K866" s="19">
        <f t="shared" si="13"/>
        <v>32.800000000000182</v>
      </c>
      <c r="L866" s="18"/>
      <c r="M866" s="18"/>
      <c r="N866" s="18"/>
      <c r="O866" s="26" t="s">
        <v>1036</v>
      </c>
    </row>
    <row r="867" spans="1:15" ht="15" x14ac:dyDescent="0.25">
      <c r="A867">
        <v>865</v>
      </c>
      <c r="B867" s="7" t="s">
        <v>759</v>
      </c>
      <c r="C867" s="13" t="s">
        <v>1265</v>
      </c>
      <c r="D867" s="14" t="s">
        <v>16</v>
      </c>
      <c r="E867" s="16">
        <v>4580</v>
      </c>
      <c r="F867" s="15">
        <v>4882</v>
      </c>
      <c r="G867" s="17" t="s">
        <v>6</v>
      </c>
      <c r="H867" s="18">
        <v>1</v>
      </c>
      <c r="I867" s="19"/>
      <c r="J867" s="19">
        <v>4686.72</v>
      </c>
      <c r="K867" s="19">
        <f t="shared" si="13"/>
        <v>106.72000000000025</v>
      </c>
      <c r="L867" s="18"/>
      <c r="M867" s="18"/>
      <c r="N867" s="18"/>
      <c r="O867" s="26" t="s">
        <v>1036</v>
      </c>
    </row>
    <row r="868" spans="1:15" ht="15" x14ac:dyDescent="0.25">
      <c r="A868">
        <v>866</v>
      </c>
      <c r="B868" s="8" t="s">
        <v>760</v>
      </c>
      <c r="C868" s="21" t="s">
        <v>1178</v>
      </c>
      <c r="D868" s="22" t="s">
        <v>16</v>
      </c>
      <c r="E868" s="23">
        <v>1479</v>
      </c>
      <c r="F868" s="15">
        <v>1535</v>
      </c>
      <c r="G868" s="24" t="s">
        <v>6</v>
      </c>
      <c r="H868" s="18">
        <v>3</v>
      </c>
      <c r="I868" s="19">
        <f>VLOOKUP(B868,[1]Лист2!$A:$J,10,0)</f>
        <v>831.34</v>
      </c>
      <c r="J868" s="19">
        <v>1473.6</v>
      </c>
      <c r="K868" s="19">
        <f t="shared" si="13"/>
        <v>-5.4000000000000909</v>
      </c>
      <c r="L868" s="18"/>
      <c r="M868" s="18"/>
      <c r="N868" s="18"/>
      <c r="O868" s="26" t="s">
        <v>1036</v>
      </c>
    </row>
    <row r="869" spans="1:15" ht="15" x14ac:dyDescent="0.25">
      <c r="A869">
        <v>867</v>
      </c>
      <c r="B869" s="7" t="s">
        <v>760</v>
      </c>
      <c r="C869" s="13" t="s">
        <v>1178</v>
      </c>
      <c r="D869" s="14" t="s">
        <v>16</v>
      </c>
      <c r="E869" s="16">
        <v>1479</v>
      </c>
      <c r="F869" s="15">
        <v>1535</v>
      </c>
      <c r="G869" s="17" t="s">
        <v>6</v>
      </c>
      <c r="H869" s="18">
        <v>6</v>
      </c>
      <c r="I869" s="19">
        <f>VLOOKUP(B869,[1]Лист2!$A:$J,10,0)</f>
        <v>831.34</v>
      </c>
      <c r="J869" s="19">
        <v>1473.6</v>
      </c>
      <c r="K869" s="19">
        <f t="shared" si="13"/>
        <v>-5.4000000000000909</v>
      </c>
      <c r="L869" s="18"/>
      <c r="M869" s="18"/>
      <c r="N869" s="18"/>
      <c r="O869" s="26" t="s">
        <v>1036</v>
      </c>
    </row>
    <row r="870" spans="1:15" ht="15" x14ac:dyDescent="0.25">
      <c r="A870">
        <v>868</v>
      </c>
      <c r="B870" s="8" t="s">
        <v>760</v>
      </c>
      <c r="C870" s="21" t="s">
        <v>1178</v>
      </c>
      <c r="D870" s="22" t="s">
        <v>16</v>
      </c>
      <c r="E870" s="23">
        <v>1479</v>
      </c>
      <c r="F870" s="15">
        <v>1535</v>
      </c>
      <c r="G870" s="24" t="s">
        <v>6</v>
      </c>
      <c r="H870" s="18">
        <v>3</v>
      </c>
      <c r="I870" s="19">
        <f>VLOOKUP(B870,[1]Лист2!$A:$J,10,0)</f>
        <v>831.34</v>
      </c>
      <c r="J870" s="19">
        <v>1473.6</v>
      </c>
      <c r="K870" s="19">
        <f t="shared" si="13"/>
        <v>-5.4000000000000909</v>
      </c>
      <c r="L870" s="18"/>
      <c r="M870" s="18"/>
      <c r="N870" s="18"/>
      <c r="O870" s="26" t="s">
        <v>1036</v>
      </c>
    </row>
    <row r="871" spans="1:15" ht="15" x14ac:dyDescent="0.25">
      <c r="A871">
        <v>869</v>
      </c>
      <c r="B871" s="7" t="s">
        <v>760</v>
      </c>
      <c r="C871" s="13" t="s">
        <v>1178</v>
      </c>
      <c r="D871" s="14" t="s">
        <v>16</v>
      </c>
      <c r="E871" s="16">
        <v>1479</v>
      </c>
      <c r="F871" s="15">
        <v>1535</v>
      </c>
      <c r="G871" s="17" t="s">
        <v>6</v>
      </c>
      <c r="H871" s="18">
        <v>7</v>
      </c>
      <c r="I871" s="19">
        <f>VLOOKUP(B871,[1]Лист2!$A:$J,10,0)</f>
        <v>831.34</v>
      </c>
      <c r="J871" s="19">
        <v>1473.6</v>
      </c>
      <c r="K871" s="19">
        <f t="shared" si="13"/>
        <v>-5.4000000000000909</v>
      </c>
      <c r="L871" s="18"/>
      <c r="M871" s="18"/>
      <c r="N871" s="18"/>
      <c r="O871" s="26" t="s">
        <v>1036</v>
      </c>
    </row>
    <row r="872" spans="1:15" ht="15" x14ac:dyDescent="0.25">
      <c r="A872">
        <v>870</v>
      </c>
      <c r="B872" s="8" t="s">
        <v>760</v>
      </c>
      <c r="C872" s="21" t="s">
        <v>1178</v>
      </c>
      <c r="D872" s="22" t="s">
        <v>16</v>
      </c>
      <c r="E872" s="23">
        <v>1479</v>
      </c>
      <c r="F872" s="15">
        <v>1535</v>
      </c>
      <c r="G872" s="24" t="s">
        <v>6</v>
      </c>
      <c r="H872" s="18">
        <v>5</v>
      </c>
      <c r="I872" s="19">
        <f>VLOOKUP(B872,[1]Лист2!$A:$J,10,0)</f>
        <v>831.34</v>
      </c>
      <c r="J872" s="19">
        <v>1473.6</v>
      </c>
      <c r="K872" s="19">
        <f t="shared" si="13"/>
        <v>-5.4000000000000909</v>
      </c>
      <c r="L872" s="18"/>
      <c r="M872" s="18"/>
      <c r="N872" s="18"/>
      <c r="O872" s="26" t="s">
        <v>1036</v>
      </c>
    </row>
    <row r="873" spans="1:15" ht="15" x14ac:dyDescent="0.25">
      <c r="A873">
        <v>871</v>
      </c>
      <c r="B873" s="7" t="s">
        <v>761</v>
      </c>
      <c r="C873" s="13" t="s">
        <v>1650</v>
      </c>
      <c r="D873" s="14" t="s">
        <v>16</v>
      </c>
      <c r="E873" s="15">
        <v>1764</v>
      </c>
      <c r="F873" s="16">
        <v>1582</v>
      </c>
      <c r="G873" s="17" t="s">
        <v>6</v>
      </c>
      <c r="H873" s="18">
        <v>17</v>
      </c>
      <c r="I873" s="19">
        <f>VLOOKUP(B873,[1]Лист2!$A:$J,10,0)</f>
        <v>1657.7549999999999</v>
      </c>
      <c r="J873" s="29">
        <v>1674.3325499999999</v>
      </c>
      <c r="K873" s="19">
        <f t="shared" si="13"/>
        <v>-89.667450000000144</v>
      </c>
      <c r="L873" s="18"/>
      <c r="M873" s="18"/>
      <c r="N873" s="18"/>
      <c r="O873" s="26" t="s">
        <v>1036</v>
      </c>
    </row>
    <row r="874" spans="1:15" ht="15" x14ac:dyDescent="0.25">
      <c r="A874">
        <v>872</v>
      </c>
      <c r="B874" s="8" t="s">
        <v>761</v>
      </c>
      <c r="C874" s="21" t="s">
        <v>1650</v>
      </c>
      <c r="D874" s="22" t="s">
        <v>16</v>
      </c>
      <c r="E874" s="15">
        <v>5442</v>
      </c>
      <c r="F874" s="23">
        <v>1582</v>
      </c>
      <c r="G874" s="24" t="s">
        <v>6</v>
      </c>
      <c r="H874" s="18">
        <v>1</v>
      </c>
      <c r="I874" s="19">
        <f>VLOOKUP(B874,[1]Лист2!$A:$J,10,0)</f>
        <v>1657.7549999999999</v>
      </c>
      <c r="J874" s="29">
        <v>1674.3325499999999</v>
      </c>
      <c r="K874" s="19">
        <f t="shared" si="13"/>
        <v>-3767.6674499999999</v>
      </c>
      <c r="L874" s="18"/>
      <c r="M874" s="18"/>
      <c r="N874" s="18"/>
      <c r="O874" s="26" t="s">
        <v>1036</v>
      </c>
    </row>
    <row r="875" spans="1:15" ht="15" x14ac:dyDescent="0.25">
      <c r="A875">
        <v>873</v>
      </c>
      <c r="B875" s="7" t="s">
        <v>761</v>
      </c>
      <c r="C875" s="13" t="s">
        <v>1650</v>
      </c>
      <c r="D875" s="14" t="s">
        <v>16</v>
      </c>
      <c r="E875" s="15">
        <v>5442</v>
      </c>
      <c r="F875" s="16">
        <v>1582</v>
      </c>
      <c r="G875" s="17" t="s">
        <v>6</v>
      </c>
      <c r="H875" s="18">
        <v>1</v>
      </c>
      <c r="I875" s="19">
        <f>VLOOKUP(B875,[1]Лист2!$A:$J,10,0)</f>
        <v>1657.7549999999999</v>
      </c>
      <c r="J875" s="29">
        <v>1674.3325499999999</v>
      </c>
      <c r="K875" s="19">
        <f t="shared" si="13"/>
        <v>-3767.6674499999999</v>
      </c>
      <c r="L875" s="18"/>
      <c r="M875" s="18"/>
      <c r="N875" s="18"/>
      <c r="O875" s="26" t="s">
        <v>1036</v>
      </c>
    </row>
    <row r="876" spans="1:15" ht="15" x14ac:dyDescent="0.25">
      <c r="A876">
        <v>874</v>
      </c>
      <c r="B876" s="8" t="s">
        <v>761</v>
      </c>
      <c r="C876" s="21" t="s">
        <v>1650</v>
      </c>
      <c r="D876" s="22" t="s">
        <v>16</v>
      </c>
      <c r="E876" s="15">
        <v>5442</v>
      </c>
      <c r="F876" s="23">
        <v>1582</v>
      </c>
      <c r="G876" s="24" t="s">
        <v>6</v>
      </c>
      <c r="H876" s="18">
        <v>3</v>
      </c>
      <c r="I876" s="19">
        <f>VLOOKUP(B876,[1]Лист2!$A:$J,10,0)</f>
        <v>1657.7549999999999</v>
      </c>
      <c r="J876" s="29">
        <v>1674.3325499999999</v>
      </c>
      <c r="K876" s="19">
        <f t="shared" si="13"/>
        <v>-3767.6674499999999</v>
      </c>
      <c r="L876" s="18"/>
      <c r="M876" s="18"/>
      <c r="N876" s="18"/>
      <c r="O876" s="26" t="s">
        <v>1036</v>
      </c>
    </row>
    <row r="877" spans="1:15" ht="15" x14ac:dyDescent="0.25">
      <c r="A877">
        <v>875</v>
      </c>
      <c r="B877" s="7" t="s">
        <v>762</v>
      </c>
      <c r="C877" s="13" t="s">
        <v>1650</v>
      </c>
      <c r="D877" s="14" t="s">
        <v>16</v>
      </c>
      <c r="E877" s="15">
        <v>5442</v>
      </c>
      <c r="F877" s="16">
        <v>3220</v>
      </c>
      <c r="G877" s="17" t="s">
        <v>6</v>
      </c>
      <c r="H877" s="18">
        <v>1</v>
      </c>
      <c r="I877" s="19">
        <f>VLOOKUP(B877,[1]Лист2!$A:$J,10,0)</f>
        <v>584.10500000000002</v>
      </c>
      <c r="J877" s="19">
        <v>3091.2</v>
      </c>
      <c r="K877" s="19">
        <f t="shared" si="13"/>
        <v>-2350.8000000000002</v>
      </c>
      <c r="L877" s="18"/>
      <c r="M877" s="18"/>
      <c r="N877" s="18"/>
      <c r="O877" s="26" t="s">
        <v>1036</v>
      </c>
    </row>
    <row r="878" spans="1:15" ht="15" x14ac:dyDescent="0.25">
      <c r="A878">
        <v>876</v>
      </c>
      <c r="B878" s="8" t="s">
        <v>763</v>
      </c>
      <c r="C878" s="21" t="s">
        <v>1651</v>
      </c>
      <c r="D878" s="22" t="s">
        <v>16</v>
      </c>
      <c r="E878" s="23">
        <v>1559</v>
      </c>
      <c r="F878" s="15">
        <v>1855</v>
      </c>
      <c r="G878" s="24" t="s">
        <v>6</v>
      </c>
      <c r="H878" s="18">
        <v>1</v>
      </c>
      <c r="I878" s="19"/>
      <c r="J878" s="19">
        <v>1780.8</v>
      </c>
      <c r="K878" s="19">
        <f t="shared" si="13"/>
        <v>221.79999999999995</v>
      </c>
      <c r="L878" s="18"/>
      <c r="M878" s="18"/>
      <c r="N878" s="18"/>
      <c r="O878" s="26" t="s">
        <v>1036</v>
      </c>
    </row>
    <row r="879" spans="1:15" ht="15" x14ac:dyDescent="0.25">
      <c r="A879">
        <v>877</v>
      </c>
      <c r="B879" s="7" t="s">
        <v>764</v>
      </c>
      <c r="C879" s="13" t="s">
        <v>1652</v>
      </c>
      <c r="D879" s="14" t="s">
        <v>16</v>
      </c>
      <c r="E879" s="15">
        <v>2730</v>
      </c>
      <c r="F879" s="16">
        <v>2418</v>
      </c>
      <c r="G879" s="17" t="s">
        <v>6</v>
      </c>
      <c r="H879" s="18">
        <v>1</v>
      </c>
      <c r="I879" s="19">
        <f>VLOOKUP(B879,[1]Лист2!$A:$J,10,0)</f>
        <v>2498.9450000000002</v>
      </c>
      <c r="J879" s="29">
        <v>2523.9344500000002</v>
      </c>
      <c r="K879" s="19">
        <f t="shared" si="13"/>
        <v>-206.0655499999998</v>
      </c>
      <c r="L879" s="18"/>
      <c r="M879" s="18"/>
      <c r="N879" s="18"/>
      <c r="O879" s="26" t="s">
        <v>1036</v>
      </c>
    </row>
    <row r="880" spans="1:15" ht="15" x14ac:dyDescent="0.25">
      <c r="A880">
        <v>878</v>
      </c>
      <c r="B880" s="8" t="s">
        <v>765</v>
      </c>
      <c r="C880" s="21" t="s">
        <v>1653</v>
      </c>
      <c r="D880" s="22" t="s">
        <v>16</v>
      </c>
      <c r="E880" s="23">
        <v>3792</v>
      </c>
      <c r="F880" s="15">
        <v>4657</v>
      </c>
      <c r="G880" s="24" t="s">
        <v>6</v>
      </c>
      <c r="H880" s="18">
        <v>1</v>
      </c>
      <c r="I880" s="19"/>
      <c r="J880" s="19">
        <v>4470.72</v>
      </c>
      <c r="K880" s="19">
        <f t="shared" si="13"/>
        <v>678.72000000000025</v>
      </c>
      <c r="L880" s="18"/>
      <c r="M880" s="18"/>
      <c r="N880" s="18"/>
      <c r="O880" s="26" t="s">
        <v>1036</v>
      </c>
    </row>
    <row r="881" spans="1:15" ht="15" x14ac:dyDescent="0.25">
      <c r="A881">
        <v>879</v>
      </c>
      <c r="B881" s="7" t="s">
        <v>766</v>
      </c>
      <c r="C881" s="13" t="s">
        <v>1654</v>
      </c>
      <c r="D881" s="14" t="s">
        <v>16</v>
      </c>
      <c r="E881" s="15">
        <v>1425</v>
      </c>
      <c r="F881" s="16">
        <v>774</v>
      </c>
      <c r="G881" s="17" t="s">
        <v>6</v>
      </c>
      <c r="H881" s="18">
        <v>1</v>
      </c>
      <c r="I881" s="19">
        <f>VLOOKUP(B881,[1]Лист2!$A:$J,10,0)</f>
        <v>891.42499999999995</v>
      </c>
      <c r="J881" s="29">
        <v>900.33924999999999</v>
      </c>
      <c r="K881" s="19">
        <f t="shared" si="13"/>
        <v>-524.66075000000001</v>
      </c>
      <c r="L881" s="18"/>
      <c r="M881" s="18"/>
      <c r="N881" s="18"/>
      <c r="O881" s="26" t="s">
        <v>1036</v>
      </c>
    </row>
    <row r="882" spans="1:15" ht="15" x14ac:dyDescent="0.25">
      <c r="A882">
        <v>880</v>
      </c>
      <c r="B882" s="8" t="s">
        <v>767</v>
      </c>
      <c r="C882" s="21" t="s">
        <v>1655</v>
      </c>
      <c r="D882" s="22" t="s">
        <v>16</v>
      </c>
      <c r="E882" s="15">
        <v>4820</v>
      </c>
      <c r="F882" s="23">
        <v>3135</v>
      </c>
      <c r="G882" s="24" t="s">
        <v>6</v>
      </c>
      <c r="H882" s="18">
        <v>1</v>
      </c>
      <c r="I882" s="19">
        <f>VLOOKUP(B882,[1]Лист2!$A:$J,10,0)</f>
        <v>3155.94</v>
      </c>
      <c r="J882" s="29">
        <v>3187.4994000000002</v>
      </c>
      <c r="K882" s="19">
        <f t="shared" si="13"/>
        <v>-1632.5005999999998</v>
      </c>
      <c r="L882" s="18"/>
      <c r="M882" s="18"/>
      <c r="N882" s="18"/>
      <c r="O882" s="26" t="s">
        <v>1036</v>
      </c>
    </row>
    <row r="883" spans="1:15" ht="15" x14ac:dyDescent="0.25">
      <c r="A883">
        <v>881</v>
      </c>
      <c r="B883" s="7" t="s">
        <v>768</v>
      </c>
      <c r="C883" s="13" t="s">
        <v>1656</v>
      </c>
      <c r="D883" s="14" t="s">
        <v>16</v>
      </c>
      <c r="E883" s="15">
        <v>1190</v>
      </c>
      <c r="F883" s="16">
        <v>944</v>
      </c>
      <c r="G883" s="17" t="s">
        <v>6</v>
      </c>
      <c r="H883" s="18">
        <v>5</v>
      </c>
      <c r="I883" s="19">
        <f>VLOOKUP(B883,[1]Лист2!$A:$J,10,0)</f>
        <v>1053.95</v>
      </c>
      <c r="J883" s="29">
        <v>1064.4895000000001</v>
      </c>
      <c r="K883" s="19">
        <f t="shared" si="13"/>
        <v>-125.51049999999987</v>
      </c>
      <c r="L883" s="18"/>
      <c r="M883" s="18"/>
      <c r="N883" s="18"/>
      <c r="O883" s="26" t="s">
        <v>1036</v>
      </c>
    </row>
    <row r="884" spans="1:15" ht="15" x14ac:dyDescent="0.25">
      <c r="A884">
        <v>882</v>
      </c>
      <c r="B884" s="8" t="s">
        <v>768</v>
      </c>
      <c r="C884" s="21" t="s">
        <v>1656</v>
      </c>
      <c r="D884" s="22" t="s">
        <v>16</v>
      </c>
      <c r="E884" s="15">
        <v>1190</v>
      </c>
      <c r="F884" s="23">
        <v>944</v>
      </c>
      <c r="G884" s="24" t="s">
        <v>6</v>
      </c>
      <c r="H884" s="18">
        <v>2</v>
      </c>
      <c r="I884" s="19">
        <f>VLOOKUP(B884,[1]Лист2!$A:$J,10,0)</f>
        <v>1053.95</v>
      </c>
      <c r="J884" s="29">
        <v>1064.4895000000001</v>
      </c>
      <c r="K884" s="19">
        <f t="shared" si="13"/>
        <v>-125.51049999999987</v>
      </c>
      <c r="L884" s="18"/>
      <c r="M884" s="18"/>
      <c r="N884" s="18"/>
      <c r="O884" s="26" t="s">
        <v>1036</v>
      </c>
    </row>
    <row r="885" spans="1:15" ht="15" x14ac:dyDescent="0.25">
      <c r="A885">
        <v>883</v>
      </c>
      <c r="B885" s="7" t="s">
        <v>768</v>
      </c>
      <c r="C885" s="13" t="s">
        <v>1656</v>
      </c>
      <c r="D885" s="14" t="s">
        <v>16</v>
      </c>
      <c r="E885" s="15">
        <v>1190</v>
      </c>
      <c r="F885" s="16">
        <v>944</v>
      </c>
      <c r="G885" s="17" t="s">
        <v>6</v>
      </c>
      <c r="H885" s="18">
        <v>1</v>
      </c>
      <c r="I885" s="19">
        <f>VLOOKUP(B885,[1]Лист2!$A:$J,10,0)</f>
        <v>1053.95</v>
      </c>
      <c r="J885" s="29">
        <v>1064.4895000000001</v>
      </c>
      <c r="K885" s="19">
        <f t="shared" si="13"/>
        <v>-125.51049999999987</v>
      </c>
      <c r="L885" s="18"/>
      <c r="M885" s="18"/>
      <c r="N885" s="18"/>
      <c r="O885" s="26" t="s">
        <v>1036</v>
      </c>
    </row>
    <row r="886" spans="1:15" ht="15" x14ac:dyDescent="0.25">
      <c r="A886">
        <v>884</v>
      </c>
      <c r="B886" s="8" t="s">
        <v>769</v>
      </c>
      <c r="C886" s="21" t="s">
        <v>1657</v>
      </c>
      <c r="D886" s="22" t="s">
        <v>16</v>
      </c>
      <c r="E886" s="15">
        <v>2490</v>
      </c>
      <c r="F886" s="23">
        <v>679.2</v>
      </c>
      <c r="G886" s="24" t="s">
        <v>78</v>
      </c>
      <c r="H886" s="18">
        <v>1</v>
      </c>
      <c r="I886" s="19">
        <f>VLOOKUP(B886,[1]Лист2!$A:$J,10,0)</f>
        <v>675.71</v>
      </c>
      <c r="J886" s="29">
        <v>682.46710000000007</v>
      </c>
      <c r="K886" s="19">
        <f t="shared" si="13"/>
        <v>-1807.5328999999999</v>
      </c>
      <c r="L886" s="18"/>
      <c r="M886" s="18"/>
      <c r="N886" s="18"/>
      <c r="O886" s="26" t="s">
        <v>1036</v>
      </c>
    </row>
    <row r="887" spans="1:15" ht="15" x14ac:dyDescent="0.25">
      <c r="A887">
        <v>885</v>
      </c>
      <c r="B887" s="7" t="s">
        <v>770</v>
      </c>
      <c r="C887" s="13" t="s">
        <v>1658</v>
      </c>
      <c r="D887" s="14" t="s">
        <v>16</v>
      </c>
      <c r="E887" s="15">
        <v>1765</v>
      </c>
      <c r="F887" s="16">
        <v>642</v>
      </c>
      <c r="G887" s="17" t="s">
        <v>6</v>
      </c>
      <c r="H887" s="18">
        <v>2</v>
      </c>
      <c r="I887" s="19">
        <f>VLOOKUP(B887,[1]Лист2!$A:$J,10,0)</f>
        <v>832.32500000000005</v>
      </c>
      <c r="J887" s="29">
        <v>840.64825000000008</v>
      </c>
      <c r="K887" s="19">
        <f t="shared" si="13"/>
        <v>-924.35174999999992</v>
      </c>
      <c r="L887" s="18"/>
      <c r="M887" s="18"/>
      <c r="N887" s="18"/>
      <c r="O887" s="26" t="s">
        <v>1036</v>
      </c>
    </row>
    <row r="888" spans="1:15" ht="15" x14ac:dyDescent="0.25">
      <c r="A888">
        <v>886</v>
      </c>
      <c r="B888" s="8" t="s">
        <v>771</v>
      </c>
      <c r="C888" s="21" t="s">
        <v>1496</v>
      </c>
      <c r="D888" s="22" t="s">
        <v>16</v>
      </c>
      <c r="E888" s="15">
        <v>2764</v>
      </c>
      <c r="F888" s="23">
        <v>848.93</v>
      </c>
      <c r="G888" s="24" t="s">
        <v>71</v>
      </c>
      <c r="H888" s="18">
        <v>7</v>
      </c>
      <c r="I888" s="19">
        <f>VLOOKUP(B888,[1]Лист2!$A:$J,10,0)</f>
        <v>684.57500000000005</v>
      </c>
      <c r="J888" s="19">
        <v>814.97279999999989</v>
      </c>
      <c r="K888" s="19">
        <f t="shared" si="13"/>
        <v>-1949.0272</v>
      </c>
      <c r="L888" s="18"/>
      <c r="M888" s="18"/>
      <c r="N888" s="18"/>
      <c r="O888" s="26" t="s">
        <v>1036</v>
      </c>
    </row>
    <row r="889" spans="1:15" ht="15" x14ac:dyDescent="0.25">
      <c r="A889">
        <v>887</v>
      </c>
      <c r="B889" s="7" t="s">
        <v>771</v>
      </c>
      <c r="C889" s="13" t="s">
        <v>1496</v>
      </c>
      <c r="D889" s="14" t="s">
        <v>16</v>
      </c>
      <c r="E889" s="15">
        <v>2490</v>
      </c>
      <c r="F889" s="16">
        <v>848.93</v>
      </c>
      <c r="G889" s="17" t="s">
        <v>71</v>
      </c>
      <c r="H889" s="18">
        <v>1</v>
      </c>
      <c r="I889" s="19">
        <f>VLOOKUP(B889,[1]Лист2!$A:$J,10,0)</f>
        <v>684.57500000000005</v>
      </c>
      <c r="J889" s="19">
        <v>814.97279999999989</v>
      </c>
      <c r="K889" s="19">
        <f t="shared" si="13"/>
        <v>-1675.0272</v>
      </c>
      <c r="L889" s="18"/>
      <c r="M889" s="18"/>
      <c r="N889" s="18"/>
      <c r="O889" s="26" t="s">
        <v>1036</v>
      </c>
    </row>
    <row r="890" spans="1:15" ht="15" x14ac:dyDescent="0.25">
      <c r="A890">
        <v>888</v>
      </c>
      <c r="B890" s="8" t="s">
        <v>771</v>
      </c>
      <c r="C890" s="21" t="s">
        <v>1496</v>
      </c>
      <c r="D890" s="22" t="s">
        <v>16</v>
      </c>
      <c r="E890" s="15">
        <v>2490</v>
      </c>
      <c r="F890" s="23">
        <v>848.93</v>
      </c>
      <c r="G890" s="24" t="s">
        <v>71</v>
      </c>
      <c r="H890" s="18">
        <v>1</v>
      </c>
      <c r="I890" s="19">
        <f>VLOOKUP(B890,[1]Лист2!$A:$J,10,0)</f>
        <v>684.57500000000005</v>
      </c>
      <c r="J890" s="19">
        <v>814.97279999999989</v>
      </c>
      <c r="K890" s="19">
        <f t="shared" si="13"/>
        <v>-1675.0272</v>
      </c>
      <c r="L890" s="18"/>
      <c r="M890" s="18"/>
      <c r="N890" s="18"/>
      <c r="O890" s="26" t="s">
        <v>1036</v>
      </c>
    </row>
    <row r="891" spans="1:15" ht="15" x14ac:dyDescent="0.25">
      <c r="A891">
        <v>889</v>
      </c>
      <c r="B891" s="7" t="s">
        <v>771</v>
      </c>
      <c r="C891" s="13" t="s">
        <v>1496</v>
      </c>
      <c r="D891" s="14" t="s">
        <v>16</v>
      </c>
      <c r="E891" s="15">
        <v>2334</v>
      </c>
      <c r="F891" s="16">
        <v>848.93</v>
      </c>
      <c r="G891" s="17" t="s">
        <v>71</v>
      </c>
      <c r="H891" s="18">
        <v>1</v>
      </c>
      <c r="I891" s="19">
        <f>VLOOKUP(B891,[1]Лист2!$A:$J,10,0)</f>
        <v>684.57500000000005</v>
      </c>
      <c r="J891" s="19">
        <v>814.97279999999989</v>
      </c>
      <c r="K891" s="19">
        <f t="shared" si="13"/>
        <v>-1519.0272</v>
      </c>
      <c r="L891" s="18"/>
      <c r="M891" s="18"/>
      <c r="N891" s="18"/>
      <c r="O891" s="26" t="s">
        <v>1036</v>
      </c>
    </row>
    <row r="892" spans="1:15" ht="15" x14ac:dyDescent="0.25">
      <c r="A892">
        <v>890</v>
      </c>
      <c r="B892" s="8" t="s">
        <v>772</v>
      </c>
      <c r="C892" s="21" t="s">
        <v>1659</v>
      </c>
      <c r="D892" s="22" t="s">
        <v>16</v>
      </c>
      <c r="E892" s="23">
        <v>3005</v>
      </c>
      <c r="F892" s="15">
        <v>5993</v>
      </c>
      <c r="G892" s="24" t="s">
        <v>6</v>
      </c>
      <c r="H892" s="18">
        <v>1</v>
      </c>
      <c r="I892" s="19"/>
      <c r="J892" s="19">
        <v>5753.28</v>
      </c>
      <c r="K892" s="19">
        <f t="shared" si="13"/>
        <v>2748.2799999999997</v>
      </c>
      <c r="L892" s="18"/>
      <c r="M892" s="18"/>
      <c r="N892" s="18"/>
      <c r="O892" s="26" t="s">
        <v>1036</v>
      </c>
    </row>
    <row r="893" spans="1:15" ht="15" x14ac:dyDescent="0.25">
      <c r="A893">
        <v>891</v>
      </c>
      <c r="B893" s="7" t="s">
        <v>773</v>
      </c>
      <c r="C893" s="13" t="s">
        <v>1660</v>
      </c>
      <c r="D893" s="14" t="s">
        <v>16</v>
      </c>
      <c r="E893" s="16">
        <v>3529</v>
      </c>
      <c r="F893" s="15">
        <v>3626</v>
      </c>
      <c r="G893" s="17" t="s">
        <v>6</v>
      </c>
      <c r="H893" s="18">
        <v>1</v>
      </c>
      <c r="I893" s="19"/>
      <c r="J893" s="19">
        <v>3564.29</v>
      </c>
      <c r="K893" s="19">
        <f t="shared" si="13"/>
        <v>35.289999999999964</v>
      </c>
      <c r="L893" s="18"/>
      <c r="M893" s="18"/>
      <c r="N893" s="18"/>
      <c r="O893" s="26" t="s">
        <v>1036</v>
      </c>
    </row>
    <row r="894" spans="1:15" ht="15" x14ac:dyDescent="0.25">
      <c r="A894">
        <v>892</v>
      </c>
      <c r="B894" s="8" t="s">
        <v>774</v>
      </c>
      <c r="C894" s="21" t="s">
        <v>1661</v>
      </c>
      <c r="D894" s="22" t="s">
        <v>8</v>
      </c>
      <c r="E894" s="23">
        <v>11173</v>
      </c>
      <c r="F894" s="15">
        <v>13111</v>
      </c>
      <c r="G894" s="24" t="s">
        <v>6</v>
      </c>
      <c r="H894" s="18">
        <v>1</v>
      </c>
      <c r="I894" s="19"/>
      <c r="J894" s="19">
        <v>12586.56</v>
      </c>
      <c r="K894" s="19">
        <f t="shared" si="13"/>
        <v>1413.5599999999995</v>
      </c>
      <c r="L894" s="18"/>
      <c r="M894" s="18"/>
      <c r="N894" s="18"/>
      <c r="O894" s="26" t="s">
        <v>1036</v>
      </c>
    </row>
    <row r="895" spans="1:15" ht="15" x14ac:dyDescent="0.25">
      <c r="A895">
        <v>893</v>
      </c>
      <c r="B895" s="7" t="s">
        <v>775</v>
      </c>
      <c r="C895" s="13" t="s">
        <v>1662</v>
      </c>
      <c r="D895" s="14" t="s">
        <v>16</v>
      </c>
      <c r="E895" s="15">
        <v>12967</v>
      </c>
      <c r="F895" s="16">
        <v>4532</v>
      </c>
      <c r="G895" s="17" t="s">
        <v>6</v>
      </c>
      <c r="H895" s="18">
        <v>1</v>
      </c>
      <c r="I895" s="19">
        <f>VLOOKUP(B895,[1]Лист2!$A:$J,10,0)</f>
        <v>5532.7449999999999</v>
      </c>
      <c r="J895" s="29">
        <v>5588.0724499999997</v>
      </c>
      <c r="K895" s="19">
        <f t="shared" si="13"/>
        <v>-7378.9275500000003</v>
      </c>
      <c r="L895" s="18"/>
      <c r="M895" s="18"/>
      <c r="N895" s="18"/>
      <c r="O895" s="26" t="s">
        <v>1036</v>
      </c>
    </row>
    <row r="896" spans="1:15" ht="15" x14ac:dyDescent="0.25">
      <c r="A896">
        <v>894</v>
      </c>
      <c r="B896" s="8" t="s">
        <v>775</v>
      </c>
      <c r="C896" s="21" t="s">
        <v>1662</v>
      </c>
      <c r="D896" s="22" t="s">
        <v>16</v>
      </c>
      <c r="E896" s="15">
        <v>10633</v>
      </c>
      <c r="F896" s="23">
        <v>4532</v>
      </c>
      <c r="G896" s="24" t="s">
        <v>6</v>
      </c>
      <c r="H896" s="18">
        <v>4</v>
      </c>
      <c r="I896" s="19">
        <f>VLOOKUP(B896,[1]Лист2!$A:$J,10,0)</f>
        <v>5532.7449999999999</v>
      </c>
      <c r="J896" s="29">
        <v>5588.0724499999997</v>
      </c>
      <c r="K896" s="19">
        <f t="shared" si="13"/>
        <v>-5044.9275500000003</v>
      </c>
      <c r="L896" s="18"/>
      <c r="M896" s="18"/>
      <c r="N896" s="18"/>
      <c r="O896" s="26" t="s">
        <v>1036</v>
      </c>
    </row>
    <row r="897" spans="1:15" ht="15" x14ac:dyDescent="0.25">
      <c r="A897">
        <v>895</v>
      </c>
      <c r="B897" s="7" t="s">
        <v>776</v>
      </c>
      <c r="C897" s="13" t="s">
        <v>1663</v>
      </c>
      <c r="D897" s="14" t="s">
        <v>16</v>
      </c>
      <c r="E897" s="15">
        <v>11430</v>
      </c>
      <c r="F897" s="16">
        <v>11362.03</v>
      </c>
      <c r="G897" s="17" t="s">
        <v>71</v>
      </c>
      <c r="H897" s="18">
        <v>1</v>
      </c>
      <c r="I897" s="19">
        <f>VLOOKUP(B897,[1]Лист2!$A:$J,10,0)</f>
        <v>10421.299999999999</v>
      </c>
      <c r="J897" s="19">
        <v>10907.5488</v>
      </c>
      <c r="K897" s="19">
        <f t="shared" si="13"/>
        <v>-522.45119999999952</v>
      </c>
      <c r="L897" s="18"/>
      <c r="M897" s="18"/>
      <c r="N897" s="18"/>
      <c r="O897" s="26" t="s">
        <v>1036</v>
      </c>
    </row>
    <row r="898" spans="1:15" ht="15" x14ac:dyDescent="0.25">
      <c r="A898">
        <v>896</v>
      </c>
      <c r="B898" s="8" t="s">
        <v>777</v>
      </c>
      <c r="C898" s="21" t="s">
        <v>1664</v>
      </c>
      <c r="D898" s="22" t="s">
        <v>16</v>
      </c>
      <c r="E898" s="15">
        <v>1776</v>
      </c>
      <c r="F898" s="23">
        <v>1637</v>
      </c>
      <c r="G898" s="24" t="s">
        <v>6</v>
      </c>
      <c r="H898" s="18">
        <v>1</v>
      </c>
      <c r="I898" s="19">
        <f>VLOOKUP(B898,[1]Лист2!$A:$J,10,0)</f>
        <v>1717.84</v>
      </c>
      <c r="J898" s="29">
        <v>1735.0183999999999</v>
      </c>
      <c r="K898" s="19">
        <f t="shared" si="13"/>
        <v>-40.981600000000071</v>
      </c>
      <c r="L898" s="18"/>
      <c r="M898" s="18"/>
      <c r="N898" s="18"/>
      <c r="O898" s="26" t="s">
        <v>1036</v>
      </c>
    </row>
    <row r="899" spans="1:15" ht="15" x14ac:dyDescent="0.25">
      <c r="A899">
        <v>897</v>
      </c>
      <c r="B899" s="7" t="s">
        <v>777</v>
      </c>
      <c r="C899" s="13" t="s">
        <v>1664</v>
      </c>
      <c r="D899" s="14" t="s">
        <v>16</v>
      </c>
      <c r="E899" s="15">
        <v>1774</v>
      </c>
      <c r="F899" s="16">
        <v>1637</v>
      </c>
      <c r="G899" s="17" t="s">
        <v>6</v>
      </c>
      <c r="H899" s="18">
        <v>1</v>
      </c>
      <c r="I899" s="19">
        <f>VLOOKUP(B899,[1]Лист2!$A:$J,10,0)</f>
        <v>1717.84</v>
      </c>
      <c r="J899" s="29">
        <v>1735.0183999999999</v>
      </c>
      <c r="K899" s="19">
        <f t="shared" ref="K899:K962" si="14">J899-E899</f>
        <v>-38.981600000000071</v>
      </c>
      <c r="L899" s="18"/>
      <c r="M899" s="18"/>
      <c r="N899" s="18"/>
      <c r="O899" s="26" t="s">
        <v>1036</v>
      </c>
    </row>
    <row r="900" spans="1:15" ht="15" x14ac:dyDescent="0.25">
      <c r="A900">
        <v>898</v>
      </c>
      <c r="B900" s="8" t="s">
        <v>777</v>
      </c>
      <c r="C900" s="21" t="s">
        <v>1664</v>
      </c>
      <c r="D900" s="22" t="s">
        <v>16</v>
      </c>
      <c r="E900" s="15">
        <v>1776</v>
      </c>
      <c r="F900" s="23">
        <v>1637</v>
      </c>
      <c r="G900" s="24" t="s">
        <v>6</v>
      </c>
      <c r="H900" s="18">
        <v>1</v>
      </c>
      <c r="I900" s="19">
        <f>VLOOKUP(B900,[1]Лист2!$A:$J,10,0)</f>
        <v>1717.84</v>
      </c>
      <c r="J900" s="29">
        <v>1735.0183999999999</v>
      </c>
      <c r="K900" s="19">
        <f t="shared" si="14"/>
        <v>-40.981600000000071</v>
      </c>
      <c r="L900" s="18"/>
      <c r="M900" s="18"/>
      <c r="N900" s="18"/>
      <c r="O900" s="26" t="s">
        <v>1036</v>
      </c>
    </row>
    <row r="901" spans="1:15" ht="15" x14ac:dyDescent="0.25">
      <c r="A901">
        <v>899</v>
      </c>
      <c r="B901" s="7" t="s">
        <v>778</v>
      </c>
      <c r="C901" s="13" t="s">
        <v>1657</v>
      </c>
      <c r="D901" s="14" t="s">
        <v>16</v>
      </c>
      <c r="E901" s="15">
        <v>1710</v>
      </c>
      <c r="F901" s="16">
        <v>651</v>
      </c>
      <c r="G901" s="17" t="s">
        <v>6</v>
      </c>
      <c r="H901" s="18">
        <v>2</v>
      </c>
      <c r="I901" s="19">
        <f>VLOOKUP(B901,[1]Лист2!$A:$J,10,0)</f>
        <v>977.12</v>
      </c>
      <c r="J901" s="29">
        <v>986.89120000000003</v>
      </c>
      <c r="K901" s="19">
        <f t="shared" si="14"/>
        <v>-723.10879999999997</v>
      </c>
      <c r="L901" s="18"/>
      <c r="M901" s="18"/>
      <c r="N901" s="18"/>
      <c r="O901" s="26" t="s">
        <v>1036</v>
      </c>
    </row>
    <row r="902" spans="1:15" ht="15" x14ac:dyDescent="0.25">
      <c r="A902">
        <v>900</v>
      </c>
      <c r="B902" s="8" t="s">
        <v>779</v>
      </c>
      <c r="C902" s="21" t="s">
        <v>1665</v>
      </c>
      <c r="D902" s="22" t="s">
        <v>16</v>
      </c>
      <c r="E902" s="15">
        <v>2301</v>
      </c>
      <c r="F902" s="23">
        <v>1640</v>
      </c>
      <c r="G902" s="24" t="s">
        <v>6</v>
      </c>
      <c r="H902" s="18">
        <v>1</v>
      </c>
      <c r="I902" s="19">
        <f>VLOOKUP(B902,[1]Лист2!$A:$J,10,0)</f>
        <v>1783.835</v>
      </c>
      <c r="J902" s="29">
        <v>1801.67335</v>
      </c>
      <c r="K902" s="19">
        <f t="shared" si="14"/>
        <v>-499.32664999999997</v>
      </c>
      <c r="L902" s="18"/>
      <c r="M902" s="18"/>
      <c r="N902" s="18"/>
      <c r="O902" s="26" t="s">
        <v>1036</v>
      </c>
    </row>
    <row r="903" spans="1:15" ht="15" x14ac:dyDescent="0.25">
      <c r="A903">
        <v>901</v>
      </c>
      <c r="B903" s="7" t="s">
        <v>779</v>
      </c>
      <c r="C903" s="13" t="s">
        <v>1665</v>
      </c>
      <c r="D903" s="14" t="s">
        <v>16</v>
      </c>
      <c r="E903" s="15">
        <v>2299</v>
      </c>
      <c r="F903" s="16">
        <v>1640</v>
      </c>
      <c r="G903" s="17" t="s">
        <v>6</v>
      </c>
      <c r="H903" s="18">
        <v>1</v>
      </c>
      <c r="I903" s="19">
        <f>VLOOKUP(B903,[1]Лист2!$A:$J,10,0)</f>
        <v>1783.835</v>
      </c>
      <c r="J903" s="29">
        <v>1801.67335</v>
      </c>
      <c r="K903" s="19">
        <f t="shared" si="14"/>
        <v>-497.32664999999997</v>
      </c>
      <c r="L903" s="18"/>
      <c r="M903" s="18"/>
      <c r="N903" s="18"/>
      <c r="O903" s="26" t="s">
        <v>1036</v>
      </c>
    </row>
    <row r="904" spans="1:15" ht="15" x14ac:dyDescent="0.25">
      <c r="A904">
        <v>902</v>
      </c>
      <c r="B904" s="8" t="s">
        <v>779</v>
      </c>
      <c r="C904" s="21" t="s">
        <v>1665</v>
      </c>
      <c r="D904" s="22" t="s">
        <v>16</v>
      </c>
      <c r="E904" s="15">
        <v>2301</v>
      </c>
      <c r="F904" s="23">
        <v>1640</v>
      </c>
      <c r="G904" s="24" t="s">
        <v>6</v>
      </c>
      <c r="H904" s="18">
        <v>1</v>
      </c>
      <c r="I904" s="19">
        <f>VLOOKUP(B904,[1]Лист2!$A:$J,10,0)</f>
        <v>1783.835</v>
      </c>
      <c r="J904" s="29">
        <v>1801.67335</v>
      </c>
      <c r="K904" s="19">
        <f t="shared" si="14"/>
        <v>-499.32664999999997</v>
      </c>
      <c r="L904" s="18"/>
      <c r="M904" s="18"/>
      <c r="N904" s="18"/>
      <c r="O904" s="26" t="s">
        <v>1036</v>
      </c>
    </row>
    <row r="905" spans="1:15" ht="15" x14ac:dyDescent="0.25">
      <c r="A905">
        <v>903</v>
      </c>
      <c r="B905" s="7" t="s">
        <v>780</v>
      </c>
      <c r="C905" s="13" t="s">
        <v>1666</v>
      </c>
      <c r="D905" s="14" t="s">
        <v>16</v>
      </c>
      <c r="E905" s="16">
        <v>1567</v>
      </c>
      <c r="F905" s="15">
        <v>1730.4</v>
      </c>
      <c r="G905" s="17" t="s">
        <v>71</v>
      </c>
      <c r="H905" s="18">
        <v>1</v>
      </c>
      <c r="I905" s="19">
        <f>VLOOKUP(B905,[1]Лист2!$A:$J,10,0)</f>
        <v>1055.92</v>
      </c>
      <c r="J905" s="19">
        <v>1661.184</v>
      </c>
      <c r="K905" s="19">
        <f t="shared" si="14"/>
        <v>94.183999999999969</v>
      </c>
      <c r="L905" s="18"/>
      <c r="M905" s="18"/>
      <c r="N905" s="18"/>
      <c r="O905" s="26" t="s">
        <v>1036</v>
      </c>
    </row>
    <row r="906" spans="1:15" ht="15" x14ac:dyDescent="0.25">
      <c r="A906">
        <v>904</v>
      </c>
      <c r="B906" s="8" t="s">
        <v>781</v>
      </c>
      <c r="C906" s="21" t="s">
        <v>1667</v>
      </c>
      <c r="D906" s="22" t="s">
        <v>16</v>
      </c>
      <c r="E906" s="15">
        <v>4198</v>
      </c>
      <c r="F906" s="23">
        <v>3089</v>
      </c>
      <c r="G906" s="24" t="s">
        <v>6</v>
      </c>
      <c r="H906" s="18">
        <v>1</v>
      </c>
      <c r="I906" s="19">
        <f>VLOOKUP(B906,[1]Лист2!$A:$J,10,0)</f>
        <v>1493.26</v>
      </c>
      <c r="J906" s="19">
        <v>2965.44</v>
      </c>
      <c r="K906" s="19">
        <f t="shared" si="14"/>
        <v>-1232.56</v>
      </c>
      <c r="L906" s="18"/>
      <c r="M906" s="18"/>
      <c r="N906" s="18"/>
      <c r="O906" s="26" t="s">
        <v>1036</v>
      </c>
    </row>
    <row r="907" spans="1:15" ht="15" x14ac:dyDescent="0.25">
      <c r="A907">
        <v>905</v>
      </c>
      <c r="B907" s="7" t="s">
        <v>782</v>
      </c>
      <c r="C907" s="13" t="s">
        <v>1667</v>
      </c>
      <c r="D907" s="14" t="s">
        <v>16</v>
      </c>
      <c r="E907" s="16">
        <v>6857</v>
      </c>
      <c r="F907" s="15">
        <v>8414</v>
      </c>
      <c r="G907" s="17" t="s">
        <v>6</v>
      </c>
      <c r="H907" s="18">
        <v>1</v>
      </c>
      <c r="I907" s="19"/>
      <c r="J907" s="19">
        <v>8077.44</v>
      </c>
      <c r="K907" s="19">
        <f t="shared" si="14"/>
        <v>1220.4399999999996</v>
      </c>
      <c r="L907" s="18"/>
      <c r="M907" s="18"/>
      <c r="N907" s="18"/>
      <c r="O907" s="26" t="s">
        <v>1036</v>
      </c>
    </row>
    <row r="908" spans="1:15" ht="15" x14ac:dyDescent="0.25">
      <c r="A908">
        <v>906</v>
      </c>
      <c r="B908" s="8" t="s">
        <v>783</v>
      </c>
      <c r="C908" s="21" t="s">
        <v>1540</v>
      </c>
      <c r="D908" s="22" t="s">
        <v>16</v>
      </c>
      <c r="E908" s="15">
        <v>5225</v>
      </c>
      <c r="F908" s="23">
        <v>2260</v>
      </c>
      <c r="G908" s="24" t="s">
        <v>6</v>
      </c>
      <c r="H908" s="18">
        <v>1</v>
      </c>
      <c r="I908" s="19">
        <f>VLOOKUP(B908,[1]Лист2!$A:$J,10,0)</f>
        <v>4840.29</v>
      </c>
      <c r="J908" s="29">
        <v>4888.6929</v>
      </c>
      <c r="K908" s="19">
        <f t="shared" si="14"/>
        <v>-336.30709999999999</v>
      </c>
      <c r="L908" s="18"/>
      <c r="M908" s="18"/>
      <c r="N908" s="18"/>
      <c r="O908" s="26" t="s">
        <v>1036</v>
      </c>
    </row>
    <row r="909" spans="1:15" ht="15" x14ac:dyDescent="0.25">
      <c r="A909">
        <v>907</v>
      </c>
      <c r="B909" s="7" t="s">
        <v>784</v>
      </c>
      <c r="C909" s="13" t="s">
        <v>1668</v>
      </c>
      <c r="D909" s="14" t="s">
        <v>24</v>
      </c>
      <c r="E909" s="15">
        <v>2702</v>
      </c>
      <c r="F909" s="16">
        <v>1660</v>
      </c>
      <c r="G909" s="17" t="s">
        <v>6</v>
      </c>
      <c r="H909" s="18">
        <v>1</v>
      </c>
      <c r="I909" s="19">
        <f>VLOOKUP(B909,[1]Лист2!$A:$J,10,0)</f>
        <v>1731.6299999999999</v>
      </c>
      <c r="J909" s="29">
        <v>1748.9462999999998</v>
      </c>
      <c r="K909" s="19">
        <f t="shared" si="14"/>
        <v>-953.05370000000016</v>
      </c>
      <c r="L909" s="18"/>
      <c r="M909" s="18"/>
      <c r="N909" s="18"/>
      <c r="O909" s="26" t="s">
        <v>1036</v>
      </c>
    </row>
    <row r="910" spans="1:15" ht="15" x14ac:dyDescent="0.25">
      <c r="A910">
        <v>908</v>
      </c>
      <c r="B910" s="8" t="s">
        <v>785</v>
      </c>
      <c r="C910" s="21" t="s">
        <v>1669</v>
      </c>
      <c r="D910" s="22" t="s">
        <v>16</v>
      </c>
      <c r="E910" s="15">
        <v>1613</v>
      </c>
      <c r="F910" s="23">
        <v>1151</v>
      </c>
      <c r="G910" s="24" t="s">
        <v>6</v>
      </c>
      <c r="H910" s="18">
        <v>1</v>
      </c>
      <c r="I910" s="19">
        <f>VLOOKUP(B910,[1]Лист2!$A:$J,10,0)</f>
        <v>562.43499999999995</v>
      </c>
      <c r="J910" s="19">
        <v>1104.96</v>
      </c>
      <c r="K910" s="19">
        <f t="shared" si="14"/>
        <v>-508.03999999999996</v>
      </c>
      <c r="L910" s="18"/>
      <c r="M910" s="18"/>
      <c r="N910" s="18"/>
      <c r="O910" s="26" t="s">
        <v>1036</v>
      </c>
    </row>
    <row r="911" spans="1:15" ht="15" x14ac:dyDescent="0.25">
      <c r="A911">
        <v>909</v>
      </c>
      <c r="B911" s="7" t="s">
        <v>785</v>
      </c>
      <c r="C911" s="13" t="s">
        <v>1669</v>
      </c>
      <c r="D911" s="14" t="s">
        <v>16</v>
      </c>
      <c r="E911" s="15">
        <v>1613</v>
      </c>
      <c r="F911" s="16">
        <v>1151</v>
      </c>
      <c r="G911" s="17" t="s">
        <v>6</v>
      </c>
      <c r="H911" s="18">
        <v>1</v>
      </c>
      <c r="I911" s="19">
        <f>VLOOKUP(B911,[1]Лист2!$A:$J,10,0)</f>
        <v>562.43499999999995</v>
      </c>
      <c r="J911" s="19">
        <v>1104.96</v>
      </c>
      <c r="K911" s="19">
        <f t="shared" si="14"/>
        <v>-508.03999999999996</v>
      </c>
      <c r="L911" s="18"/>
      <c r="M911" s="18"/>
      <c r="N911" s="18"/>
      <c r="O911" s="26" t="s">
        <v>1036</v>
      </c>
    </row>
    <row r="912" spans="1:15" ht="15" x14ac:dyDescent="0.25">
      <c r="A912">
        <v>910</v>
      </c>
      <c r="B912" s="8" t="s">
        <v>785</v>
      </c>
      <c r="C912" s="21" t="s">
        <v>1669</v>
      </c>
      <c r="D912" s="22" t="s">
        <v>16</v>
      </c>
      <c r="E912" s="15">
        <v>1613</v>
      </c>
      <c r="F912" s="23">
        <v>1151</v>
      </c>
      <c r="G912" s="24" t="s">
        <v>6</v>
      </c>
      <c r="H912" s="18">
        <v>1</v>
      </c>
      <c r="I912" s="19">
        <f>VLOOKUP(B912,[1]Лист2!$A:$J,10,0)</f>
        <v>562.43499999999995</v>
      </c>
      <c r="J912" s="19">
        <v>1104.96</v>
      </c>
      <c r="K912" s="19">
        <f t="shared" si="14"/>
        <v>-508.03999999999996</v>
      </c>
      <c r="L912" s="18"/>
      <c r="M912" s="18"/>
      <c r="N912" s="18"/>
      <c r="O912" s="26" t="s">
        <v>1036</v>
      </c>
    </row>
    <row r="913" spans="1:15" ht="15" x14ac:dyDescent="0.25">
      <c r="A913">
        <v>911</v>
      </c>
      <c r="B913" s="7" t="s">
        <v>786</v>
      </c>
      <c r="C913" s="13" t="s">
        <v>1670</v>
      </c>
      <c r="D913" s="14" t="s">
        <v>16</v>
      </c>
      <c r="E913" s="15">
        <v>33841</v>
      </c>
      <c r="F913" s="16">
        <v>19288.8</v>
      </c>
      <c r="G913" s="17" t="s">
        <v>78</v>
      </c>
      <c r="H913" s="18">
        <v>1</v>
      </c>
      <c r="I913" s="19">
        <f>VLOOKUP(B913,[1]Лист2!$A:$J,10,0)</f>
        <v>20243.72</v>
      </c>
      <c r="J913" s="29">
        <v>20446.157200000001</v>
      </c>
      <c r="K913" s="19">
        <f t="shared" si="14"/>
        <v>-13394.842799999999</v>
      </c>
      <c r="L913" s="18"/>
      <c r="M913" s="18"/>
      <c r="N913" s="18"/>
      <c r="O913" s="26" t="s">
        <v>1036</v>
      </c>
    </row>
    <row r="914" spans="1:15" ht="15" x14ac:dyDescent="0.25">
      <c r="A914">
        <v>912</v>
      </c>
      <c r="B914" s="8" t="s">
        <v>787</v>
      </c>
      <c r="C914" s="21" t="s">
        <v>1671</v>
      </c>
      <c r="D914" s="22" t="s">
        <v>16</v>
      </c>
      <c r="E914" s="15">
        <v>3575</v>
      </c>
      <c r="F914" s="23">
        <v>2176</v>
      </c>
      <c r="G914" s="24" t="s">
        <v>6</v>
      </c>
      <c r="H914" s="18">
        <v>1</v>
      </c>
      <c r="I914" s="19">
        <f>VLOOKUP(B914,[1]Лист2!$A:$J,10,0)</f>
        <v>1224.355</v>
      </c>
      <c r="J914" s="19">
        <v>2088.96</v>
      </c>
      <c r="K914" s="19">
        <f t="shared" si="14"/>
        <v>-1486.04</v>
      </c>
      <c r="L914" s="18"/>
      <c r="M914" s="18"/>
      <c r="N914" s="18"/>
      <c r="O914" s="26" t="s">
        <v>1036</v>
      </c>
    </row>
    <row r="915" spans="1:15" ht="15" x14ac:dyDescent="0.25">
      <c r="A915">
        <v>913</v>
      </c>
      <c r="B915" s="7" t="s">
        <v>788</v>
      </c>
      <c r="C915" s="13" t="s">
        <v>1048</v>
      </c>
      <c r="D915" s="14" t="s">
        <v>16</v>
      </c>
      <c r="E915" s="15">
        <v>3957</v>
      </c>
      <c r="F915" s="16">
        <v>3071</v>
      </c>
      <c r="G915" s="17" t="s">
        <v>6</v>
      </c>
      <c r="H915" s="18">
        <v>1</v>
      </c>
      <c r="I915" s="19">
        <f>VLOOKUP(B915,[1]Лист2!$A:$J,10,0)</f>
        <v>3351.9549999999999</v>
      </c>
      <c r="J915" s="29">
        <v>3385.4745499999999</v>
      </c>
      <c r="K915" s="19">
        <f t="shared" si="14"/>
        <v>-571.52545000000009</v>
      </c>
      <c r="L915" s="18"/>
      <c r="M915" s="18"/>
      <c r="N915" s="18"/>
      <c r="O915" s="26" t="s">
        <v>1036</v>
      </c>
    </row>
    <row r="916" spans="1:15" ht="15" x14ac:dyDescent="0.25">
      <c r="A916">
        <v>914</v>
      </c>
      <c r="B916" s="8" t="s">
        <v>789</v>
      </c>
      <c r="C916" s="21" t="s">
        <v>1672</v>
      </c>
      <c r="D916" s="22" t="s">
        <v>16</v>
      </c>
      <c r="E916" s="15">
        <v>3895</v>
      </c>
      <c r="F916" s="23">
        <v>2193</v>
      </c>
      <c r="G916" s="24" t="s">
        <v>6</v>
      </c>
      <c r="H916" s="18">
        <v>1</v>
      </c>
      <c r="I916" s="19">
        <f>VLOOKUP(B916,[1]Лист2!$A:$J,10,0)</f>
        <v>1276.56</v>
      </c>
      <c r="J916" s="19">
        <v>2105.2799999999997</v>
      </c>
      <c r="K916" s="19">
        <f t="shared" si="14"/>
        <v>-1789.7200000000003</v>
      </c>
      <c r="L916" s="18"/>
      <c r="M916" s="18"/>
      <c r="N916" s="18"/>
      <c r="O916" s="26" t="s">
        <v>1036</v>
      </c>
    </row>
    <row r="917" spans="1:15" ht="15" x14ac:dyDescent="0.25">
      <c r="A917">
        <v>915</v>
      </c>
      <c r="B917" s="7" t="s">
        <v>790</v>
      </c>
      <c r="C917" s="13" t="s">
        <v>1673</v>
      </c>
      <c r="D917" s="14" t="s">
        <v>16</v>
      </c>
      <c r="E917" s="15">
        <v>3895</v>
      </c>
      <c r="F917" s="16">
        <v>2353</v>
      </c>
      <c r="G917" s="17" t="s">
        <v>6</v>
      </c>
      <c r="H917" s="18">
        <v>1</v>
      </c>
      <c r="I917" s="19">
        <f>VLOOKUP(B917,[1]Лист2!$A:$J,10,0)</f>
        <v>2667.38</v>
      </c>
      <c r="J917" s="29">
        <v>2694.0538000000001</v>
      </c>
      <c r="K917" s="19">
        <f t="shared" si="14"/>
        <v>-1200.9461999999999</v>
      </c>
      <c r="L917" s="18"/>
      <c r="M917" s="18"/>
      <c r="N917" s="18"/>
      <c r="O917" s="26" t="s">
        <v>1036</v>
      </c>
    </row>
    <row r="918" spans="1:15" ht="15" x14ac:dyDescent="0.25">
      <c r="A918">
        <v>916</v>
      </c>
      <c r="B918" s="8" t="s">
        <v>791</v>
      </c>
      <c r="C918" s="21" t="s">
        <v>1674</v>
      </c>
      <c r="D918" s="22" t="s">
        <v>16</v>
      </c>
      <c r="E918" s="15">
        <v>12455</v>
      </c>
      <c r="F918" s="23">
        <v>5150</v>
      </c>
      <c r="G918" s="24" t="s">
        <v>6</v>
      </c>
      <c r="H918" s="18">
        <v>1</v>
      </c>
      <c r="I918" s="19">
        <f>VLOOKUP(B918,[1]Лист2!$A:$J,10,0)</f>
        <v>3598.2049999999999</v>
      </c>
      <c r="J918" s="19">
        <v>4944</v>
      </c>
      <c r="K918" s="19">
        <f t="shared" si="14"/>
        <v>-7511</v>
      </c>
      <c r="L918" s="18"/>
      <c r="M918" s="18"/>
      <c r="N918" s="18"/>
      <c r="O918" s="26" t="s">
        <v>1036</v>
      </c>
    </row>
    <row r="919" spans="1:15" ht="15" x14ac:dyDescent="0.25">
      <c r="A919">
        <v>917</v>
      </c>
      <c r="B919" s="7" t="s">
        <v>791</v>
      </c>
      <c r="C919" s="13" t="s">
        <v>1674</v>
      </c>
      <c r="D919" s="14" t="s">
        <v>16</v>
      </c>
      <c r="E919" s="15">
        <v>12442</v>
      </c>
      <c r="F919" s="16">
        <v>2357.2399999999998</v>
      </c>
      <c r="G919" s="17" t="s">
        <v>11</v>
      </c>
      <c r="H919" s="18">
        <v>1</v>
      </c>
      <c r="I919" s="19">
        <f>VLOOKUP(B919,[1]Лист2!$A:$J,10,0)</f>
        <v>3598.2049999999999</v>
      </c>
      <c r="J919" s="29">
        <v>3634.18705</v>
      </c>
      <c r="K919" s="19">
        <f t="shared" si="14"/>
        <v>-8807.8129499999995</v>
      </c>
      <c r="L919" s="18"/>
      <c r="M919" s="18"/>
      <c r="N919" s="18"/>
      <c r="O919" s="26" t="s">
        <v>1036</v>
      </c>
    </row>
    <row r="920" spans="1:15" ht="15" x14ac:dyDescent="0.25">
      <c r="A920">
        <v>918</v>
      </c>
      <c r="B920" s="8" t="s">
        <v>792</v>
      </c>
      <c r="C920" s="21" t="s">
        <v>1675</v>
      </c>
      <c r="D920" s="22" t="s">
        <v>16</v>
      </c>
      <c r="E920" s="15">
        <v>53043</v>
      </c>
      <c r="F920" s="23">
        <v>38537</v>
      </c>
      <c r="G920" s="24" t="s">
        <v>6</v>
      </c>
      <c r="H920" s="18">
        <v>1</v>
      </c>
      <c r="I920" s="19">
        <f>VLOOKUP(B920,[1]Лист2!$A:$J,10,0)</f>
        <v>7528.3549999999996</v>
      </c>
      <c r="J920" s="19">
        <v>36995.519999999997</v>
      </c>
      <c r="K920" s="19">
        <f t="shared" si="14"/>
        <v>-16047.480000000003</v>
      </c>
      <c r="L920" s="18"/>
      <c r="M920" s="18"/>
      <c r="N920" s="18"/>
      <c r="O920" s="26" t="s">
        <v>1036</v>
      </c>
    </row>
    <row r="921" spans="1:15" ht="15" x14ac:dyDescent="0.25">
      <c r="A921">
        <v>919</v>
      </c>
      <c r="B921" s="7" t="s">
        <v>793</v>
      </c>
      <c r="C921" s="13" t="s">
        <v>1676</v>
      </c>
      <c r="D921" s="14" t="s">
        <v>794</v>
      </c>
      <c r="E921" s="16">
        <v>1296</v>
      </c>
      <c r="F921" s="15">
        <v>1597</v>
      </c>
      <c r="G921" s="17" t="s">
        <v>6</v>
      </c>
      <c r="H921" s="18">
        <v>1</v>
      </c>
      <c r="I921" s="19">
        <f>VLOOKUP(B921,[1]Лист2!$A:$J,10,0)</f>
        <v>591</v>
      </c>
      <c r="J921" s="19">
        <v>1533.12</v>
      </c>
      <c r="K921" s="19">
        <f t="shared" si="14"/>
        <v>237.11999999999989</v>
      </c>
      <c r="L921" s="18"/>
      <c r="M921" s="18"/>
      <c r="N921" s="18"/>
      <c r="O921" s="26" t="s">
        <v>1036</v>
      </c>
    </row>
    <row r="922" spans="1:15" ht="15" x14ac:dyDescent="0.25">
      <c r="A922">
        <v>920</v>
      </c>
      <c r="B922" s="8" t="s">
        <v>795</v>
      </c>
      <c r="C922" s="21" t="s">
        <v>1677</v>
      </c>
      <c r="D922" s="22" t="s">
        <v>64</v>
      </c>
      <c r="E922" s="23">
        <v>1061</v>
      </c>
      <c r="F922" s="15">
        <v>1310</v>
      </c>
      <c r="G922" s="24" t="s">
        <v>6</v>
      </c>
      <c r="H922" s="18">
        <v>1</v>
      </c>
      <c r="I922" s="19"/>
      <c r="J922" s="19">
        <v>1257.5999999999999</v>
      </c>
      <c r="K922" s="19">
        <f t="shared" si="14"/>
        <v>196.59999999999991</v>
      </c>
      <c r="L922" s="18"/>
      <c r="M922" s="18"/>
      <c r="N922" s="18"/>
      <c r="O922" s="26" t="s">
        <v>1036</v>
      </c>
    </row>
    <row r="923" spans="1:15" ht="15" x14ac:dyDescent="0.25">
      <c r="A923">
        <v>921</v>
      </c>
      <c r="B923" s="7" t="s">
        <v>796</v>
      </c>
      <c r="C923" s="13" t="s">
        <v>1677</v>
      </c>
      <c r="D923" s="14" t="s">
        <v>64</v>
      </c>
      <c r="E923" s="16">
        <v>1101</v>
      </c>
      <c r="F923" s="15">
        <v>1358</v>
      </c>
      <c r="G923" s="17" t="s">
        <v>6</v>
      </c>
      <c r="H923" s="18">
        <v>1</v>
      </c>
      <c r="I923" s="19"/>
      <c r="J923" s="19">
        <v>1303.68</v>
      </c>
      <c r="K923" s="19">
        <f t="shared" si="14"/>
        <v>202.68000000000006</v>
      </c>
      <c r="L923" s="18"/>
      <c r="M923" s="18"/>
      <c r="N923" s="18"/>
      <c r="O923" s="26" t="s">
        <v>1036</v>
      </c>
    </row>
    <row r="924" spans="1:15" ht="15" x14ac:dyDescent="0.25">
      <c r="A924">
        <v>922</v>
      </c>
      <c r="B924" s="8" t="s">
        <v>797</v>
      </c>
      <c r="C924" s="21" t="s">
        <v>1600</v>
      </c>
      <c r="D924" s="22" t="s">
        <v>8</v>
      </c>
      <c r="E924" s="23">
        <v>8772</v>
      </c>
      <c r="F924" s="15">
        <v>10294</v>
      </c>
      <c r="G924" s="24" t="s">
        <v>6</v>
      </c>
      <c r="H924" s="18">
        <v>1</v>
      </c>
      <c r="I924" s="19"/>
      <c r="J924" s="19">
        <v>9882.24</v>
      </c>
      <c r="K924" s="19">
        <f t="shared" si="14"/>
        <v>1110.2399999999998</v>
      </c>
      <c r="L924" s="18"/>
      <c r="M924" s="18"/>
      <c r="N924" s="18"/>
      <c r="O924" s="26" t="s">
        <v>1036</v>
      </c>
    </row>
    <row r="925" spans="1:15" ht="15" x14ac:dyDescent="0.25">
      <c r="A925">
        <v>923</v>
      </c>
      <c r="B925" s="7" t="s">
        <v>798</v>
      </c>
      <c r="C925" s="13" t="s">
        <v>1343</v>
      </c>
      <c r="D925" s="14" t="s">
        <v>8</v>
      </c>
      <c r="E925" s="16">
        <v>34361</v>
      </c>
      <c r="F925" s="15">
        <v>40301</v>
      </c>
      <c r="G925" s="17" t="s">
        <v>6</v>
      </c>
      <c r="H925" s="18">
        <v>1</v>
      </c>
      <c r="I925" s="19"/>
      <c r="J925" s="19">
        <v>36950</v>
      </c>
      <c r="K925" s="19">
        <f t="shared" si="14"/>
        <v>2589</v>
      </c>
      <c r="L925" s="18"/>
      <c r="M925" s="18"/>
      <c r="N925" s="18"/>
      <c r="O925" s="26" t="s">
        <v>1036</v>
      </c>
    </row>
    <row r="926" spans="1:15" ht="15" x14ac:dyDescent="0.25">
      <c r="A926">
        <v>924</v>
      </c>
      <c r="B926" s="8" t="s">
        <v>799</v>
      </c>
      <c r="C926" s="21" t="s">
        <v>1678</v>
      </c>
      <c r="D926" s="22" t="s">
        <v>8</v>
      </c>
      <c r="E926" s="23">
        <v>13381</v>
      </c>
      <c r="F926" s="15">
        <v>15699</v>
      </c>
      <c r="G926" s="24" t="s">
        <v>6</v>
      </c>
      <c r="H926" s="18">
        <v>1</v>
      </c>
      <c r="I926" s="19"/>
      <c r="J926" s="19">
        <v>15071.039999999999</v>
      </c>
      <c r="K926" s="19">
        <f t="shared" si="14"/>
        <v>1690.0399999999991</v>
      </c>
      <c r="L926" s="18"/>
      <c r="M926" s="18"/>
      <c r="N926" s="18"/>
      <c r="O926" s="26" t="s">
        <v>1036</v>
      </c>
    </row>
    <row r="927" spans="1:15" ht="15" x14ac:dyDescent="0.25">
      <c r="A927">
        <v>925</v>
      </c>
      <c r="B927" s="7" t="s">
        <v>800</v>
      </c>
      <c r="C927" s="13" t="s">
        <v>1679</v>
      </c>
      <c r="D927" s="14" t="s">
        <v>8</v>
      </c>
      <c r="E927" s="15">
        <v>3292</v>
      </c>
      <c r="F927" s="16">
        <v>886</v>
      </c>
      <c r="G927" s="17" t="s">
        <v>6</v>
      </c>
      <c r="H927" s="18">
        <v>1</v>
      </c>
      <c r="I927" s="19">
        <f>VLOOKUP(B927,[1]Лист2!$A:$J,10,0)</f>
        <v>438.32499999999999</v>
      </c>
      <c r="J927" s="19">
        <v>850.56</v>
      </c>
      <c r="K927" s="19">
        <f t="shared" si="14"/>
        <v>-2441.44</v>
      </c>
      <c r="L927" s="18"/>
      <c r="M927" s="18"/>
      <c r="N927" s="18"/>
      <c r="O927" s="26" t="s">
        <v>1036</v>
      </c>
    </row>
    <row r="928" spans="1:15" ht="15" x14ac:dyDescent="0.25">
      <c r="A928">
        <v>926</v>
      </c>
      <c r="B928" s="8" t="s">
        <v>801</v>
      </c>
      <c r="C928" s="21" t="s">
        <v>1680</v>
      </c>
      <c r="D928" s="22" t="s">
        <v>8</v>
      </c>
      <c r="E928" s="23">
        <v>4422</v>
      </c>
      <c r="F928" s="15">
        <v>6231</v>
      </c>
      <c r="G928" s="24" t="s">
        <v>6</v>
      </c>
      <c r="H928" s="18">
        <v>1</v>
      </c>
      <c r="I928" s="19"/>
      <c r="J928" s="19">
        <v>5981.76</v>
      </c>
      <c r="K928" s="19">
        <f t="shared" si="14"/>
        <v>1559.7600000000002</v>
      </c>
      <c r="L928" s="18"/>
      <c r="M928" s="18"/>
      <c r="N928" s="18"/>
      <c r="O928" s="26" t="s">
        <v>1036</v>
      </c>
    </row>
    <row r="929" spans="1:15" ht="15" x14ac:dyDescent="0.25">
      <c r="A929">
        <v>927</v>
      </c>
      <c r="B929" s="7" t="s">
        <v>802</v>
      </c>
      <c r="C929" s="13" t="s">
        <v>1681</v>
      </c>
      <c r="D929" s="14" t="s">
        <v>8</v>
      </c>
      <c r="E929" s="16">
        <v>18221</v>
      </c>
      <c r="F929" s="15">
        <v>40156</v>
      </c>
      <c r="G929" s="17" t="s">
        <v>6</v>
      </c>
      <c r="H929" s="18">
        <v>1</v>
      </c>
      <c r="I929" s="19">
        <f>VLOOKUP(B929,[1]Лист2!$A:$J,10,0)</f>
        <v>35182.229999999996</v>
      </c>
      <c r="J929" s="19">
        <v>31500</v>
      </c>
      <c r="K929" s="19">
        <f t="shared" si="14"/>
        <v>13279</v>
      </c>
      <c r="L929" s="18"/>
      <c r="M929" s="18"/>
      <c r="N929" s="18"/>
      <c r="O929" s="26" t="s">
        <v>1036</v>
      </c>
    </row>
    <row r="930" spans="1:15" ht="15" x14ac:dyDescent="0.25">
      <c r="A930">
        <v>928</v>
      </c>
      <c r="B930" s="8" t="s">
        <v>802</v>
      </c>
      <c r="C930" s="21" t="s">
        <v>1681</v>
      </c>
      <c r="D930" s="22" t="s">
        <v>8</v>
      </c>
      <c r="E930" s="15">
        <v>42587</v>
      </c>
      <c r="F930" s="23">
        <v>40156</v>
      </c>
      <c r="G930" s="24" t="s">
        <v>6</v>
      </c>
      <c r="H930" s="18">
        <v>1</v>
      </c>
      <c r="I930" s="19">
        <f>VLOOKUP(B930,[1]Лист2!$A:$J,10,0)</f>
        <v>35182.229999999996</v>
      </c>
      <c r="J930" s="19">
        <v>38549.760000000002</v>
      </c>
      <c r="K930" s="19">
        <f t="shared" si="14"/>
        <v>-4037.239999999998</v>
      </c>
      <c r="L930" s="18"/>
      <c r="M930" s="18"/>
      <c r="N930" s="18"/>
      <c r="O930" s="26" t="s">
        <v>1036</v>
      </c>
    </row>
    <row r="931" spans="1:15" ht="15" x14ac:dyDescent="0.25">
      <c r="A931">
        <v>929</v>
      </c>
      <c r="B931" s="7" t="s">
        <v>803</v>
      </c>
      <c r="C931" s="13" t="s">
        <v>1050</v>
      </c>
      <c r="D931" s="14" t="s">
        <v>8</v>
      </c>
      <c r="E931" s="16">
        <v>35454</v>
      </c>
      <c r="F931" s="15">
        <v>36788</v>
      </c>
      <c r="G931" s="17" t="s">
        <v>6</v>
      </c>
      <c r="H931" s="18">
        <v>1</v>
      </c>
      <c r="I931" s="19"/>
      <c r="J931" s="19">
        <v>35808.54</v>
      </c>
      <c r="K931" s="19">
        <f t="shared" si="14"/>
        <v>354.54000000000087</v>
      </c>
      <c r="L931" s="18"/>
      <c r="M931" s="18"/>
      <c r="N931" s="18"/>
      <c r="O931" s="26" t="s">
        <v>1036</v>
      </c>
    </row>
    <row r="932" spans="1:15" ht="15" x14ac:dyDescent="0.25">
      <c r="A932">
        <v>930</v>
      </c>
      <c r="B932" s="8" t="s">
        <v>804</v>
      </c>
      <c r="C932" s="21" t="s">
        <v>1682</v>
      </c>
      <c r="D932" s="22" t="s">
        <v>8</v>
      </c>
      <c r="E932" s="23">
        <v>1578</v>
      </c>
      <c r="F932" s="15">
        <v>1859</v>
      </c>
      <c r="G932" s="24" t="s">
        <v>6</v>
      </c>
      <c r="H932" s="18">
        <v>1</v>
      </c>
      <c r="I932" s="19"/>
      <c r="J932" s="19">
        <v>1784.6399999999999</v>
      </c>
      <c r="K932" s="19">
        <f t="shared" si="14"/>
        <v>206.63999999999987</v>
      </c>
      <c r="L932" s="18"/>
      <c r="M932" s="18"/>
      <c r="N932" s="18"/>
      <c r="O932" s="26" t="s">
        <v>1036</v>
      </c>
    </row>
    <row r="933" spans="1:15" ht="15" x14ac:dyDescent="0.25">
      <c r="A933">
        <v>931</v>
      </c>
      <c r="B933" s="7" t="s">
        <v>805</v>
      </c>
      <c r="C933" s="13" t="s">
        <v>1683</v>
      </c>
      <c r="D933" s="14" t="s">
        <v>8</v>
      </c>
      <c r="E933" s="16">
        <v>2975</v>
      </c>
      <c r="F933" s="15">
        <v>3497</v>
      </c>
      <c r="G933" s="17" t="s">
        <v>6</v>
      </c>
      <c r="H933" s="18">
        <v>1</v>
      </c>
      <c r="I933" s="19"/>
      <c r="J933" s="19">
        <v>3357.12</v>
      </c>
      <c r="K933" s="19">
        <f t="shared" si="14"/>
        <v>382.11999999999989</v>
      </c>
      <c r="L933" s="18"/>
      <c r="M933" s="18"/>
      <c r="N933" s="18"/>
      <c r="O933" s="26" t="s">
        <v>1036</v>
      </c>
    </row>
    <row r="934" spans="1:15" ht="15" x14ac:dyDescent="0.25">
      <c r="A934">
        <v>932</v>
      </c>
      <c r="B934" s="8" t="s">
        <v>806</v>
      </c>
      <c r="C934" s="21" t="s">
        <v>1684</v>
      </c>
      <c r="D934" s="22" t="s">
        <v>8</v>
      </c>
      <c r="E934" s="23">
        <v>14597</v>
      </c>
      <c r="F934" s="15">
        <v>17124</v>
      </c>
      <c r="G934" s="24" t="s">
        <v>6</v>
      </c>
      <c r="H934" s="18">
        <v>1</v>
      </c>
      <c r="I934" s="19"/>
      <c r="J934" s="19">
        <v>16439.04</v>
      </c>
      <c r="K934" s="19">
        <f t="shared" si="14"/>
        <v>1842.0400000000009</v>
      </c>
      <c r="L934" s="18"/>
      <c r="M934" s="18"/>
      <c r="N934" s="18"/>
      <c r="O934" s="26" t="s">
        <v>1036</v>
      </c>
    </row>
    <row r="935" spans="1:15" ht="15" x14ac:dyDescent="0.25">
      <c r="A935">
        <v>933</v>
      </c>
      <c r="B935" s="7" t="s">
        <v>807</v>
      </c>
      <c r="C935" s="13" t="s">
        <v>1685</v>
      </c>
      <c r="D935" s="14" t="s">
        <v>8</v>
      </c>
      <c r="E935" s="15">
        <v>4844</v>
      </c>
      <c r="F935" s="16">
        <v>751</v>
      </c>
      <c r="G935" s="17" t="s">
        <v>6</v>
      </c>
      <c r="H935" s="18">
        <v>1</v>
      </c>
      <c r="I935" s="19"/>
      <c r="J935" s="19">
        <v>4892.4399999999996</v>
      </c>
      <c r="K935" s="19">
        <f t="shared" si="14"/>
        <v>48.4399999999996</v>
      </c>
      <c r="L935" s="18"/>
      <c r="M935" s="18"/>
      <c r="N935" s="18"/>
      <c r="O935" s="26" t="s">
        <v>1036</v>
      </c>
    </row>
    <row r="936" spans="1:15" ht="15" x14ac:dyDescent="0.25">
      <c r="A936">
        <v>934</v>
      </c>
      <c r="B936" s="8" t="s">
        <v>808</v>
      </c>
      <c r="C936" s="21" t="s">
        <v>1686</v>
      </c>
      <c r="D936" s="22" t="s">
        <v>8</v>
      </c>
      <c r="E936" s="15">
        <v>4429</v>
      </c>
      <c r="F936" s="23">
        <v>988</v>
      </c>
      <c r="G936" s="24" t="s">
        <v>6</v>
      </c>
      <c r="H936" s="18">
        <v>1</v>
      </c>
      <c r="I936" s="19">
        <f>VLOOKUP(B936,[1]Лист2!$A:$J,10,0)</f>
        <v>2026.145</v>
      </c>
      <c r="J936" s="29">
        <v>2046.4064499999999</v>
      </c>
      <c r="K936" s="19">
        <f t="shared" si="14"/>
        <v>-2382.5935500000001</v>
      </c>
      <c r="L936" s="18"/>
      <c r="M936" s="18"/>
      <c r="N936" s="18"/>
      <c r="O936" s="26" t="s">
        <v>1036</v>
      </c>
    </row>
    <row r="937" spans="1:15" ht="15" x14ac:dyDescent="0.25">
      <c r="A937">
        <v>935</v>
      </c>
      <c r="B937" s="7" t="s">
        <v>809</v>
      </c>
      <c r="C937" s="13" t="s">
        <v>1687</v>
      </c>
      <c r="D937" s="14" t="s">
        <v>24</v>
      </c>
      <c r="E937" s="15">
        <v>43438</v>
      </c>
      <c r="F937" s="16">
        <v>36622</v>
      </c>
      <c r="G937" s="17" t="s">
        <v>6</v>
      </c>
      <c r="H937" s="18">
        <v>1</v>
      </c>
      <c r="I937" s="19"/>
      <c r="J937" s="19">
        <v>43872.38</v>
      </c>
      <c r="K937" s="19">
        <f t="shared" si="14"/>
        <v>434.37999999999738</v>
      </c>
      <c r="L937" s="18"/>
      <c r="M937" s="18"/>
      <c r="N937" s="18"/>
      <c r="O937" s="26" t="s">
        <v>1036</v>
      </c>
    </row>
    <row r="938" spans="1:15" ht="15" x14ac:dyDescent="0.25">
      <c r="A938">
        <v>936</v>
      </c>
      <c r="B938" s="8" t="s">
        <v>810</v>
      </c>
      <c r="C938" s="21" t="s">
        <v>1688</v>
      </c>
      <c r="D938" s="22" t="s">
        <v>22</v>
      </c>
      <c r="E938" s="23">
        <v>12186</v>
      </c>
      <c r="F938" s="15">
        <v>14948</v>
      </c>
      <c r="G938" s="24" t="s">
        <v>6</v>
      </c>
      <c r="H938" s="18">
        <v>1</v>
      </c>
      <c r="I938" s="19"/>
      <c r="J938" s="19">
        <v>14350.08</v>
      </c>
      <c r="K938" s="19">
        <f t="shared" si="14"/>
        <v>2164.08</v>
      </c>
      <c r="L938" s="18"/>
      <c r="M938" s="18"/>
      <c r="N938" s="18"/>
      <c r="O938" s="26" t="s">
        <v>1036</v>
      </c>
    </row>
    <row r="939" spans="1:15" ht="15" x14ac:dyDescent="0.25">
      <c r="A939">
        <v>937</v>
      </c>
      <c r="B939" s="7" t="s">
        <v>811</v>
      </c>
      <c r="C939" s="13" t="s">
        <v>1689</v>
      </c>
      <c r="D939" s="14" t="s">
        <v>22</v>
      </c>
      <c r="E939" s="16">
        <v>3709</v>
      </c>
      <c r="F939" s="15">
        <v>5692</v>
      </c>
      <c r="G939" s="17" t="s">
        <v>6</v>
      </c>
      <c r="H939" s="18">
        <v>1</v>
      </c>
      <c r="I939" s="19"/>
      <c r="J939" s="19">
        <v>5464.32</v>
      </c>
      <c r="K939" s="19">
        <f t="shared" si="14"/>
        <v>1755.3199999999997</v>
      </c>
      <c r="L939" s="18"/>
      <c r="M939" s="18"/>
      <c r="N939" s="18"/>
      <c r="O939" s="26" t="s">
        <v>1036</v>
      </c>
    </row>
    <row r="940" spans="1:15" ht="15" x14ac:dyDescent="0.25">
      <c r="A940">
        <v>938</v>
      </c>
      <c r="B940" s="8" t="s">
        <v>812</v>
      </c>
      <c r="C940" s="21" t="s">
        <v>1690</v>
      </c>
      <c r="D940" s="22" t="s">
        <v>22</v>
      </c>
      <c r="E940" s="23">
        <v>3730</v>
      </c>
      <c r="F940" s="15">
        <v>4582</v>
      </c>
      <c r="G940" s="24" t="s">
        <v>6</v>
      </c>
      <c r="H940" s="18">
        <v>1</v>
      </c>
      <c r="I940" s="19"/>
      <c r="J940" s="19">
        <v>4398.72</v>
      </c>
      <c r="K940" s="19">
        <f t="shared" si="14"/>
        <v>668.72000000000025</v>
      </c>
      <c r="L940" s="18"/>
      <c r="M940" s="18"/>
      <c r="N940" s="18"/>
      <c r="O940" s="26" t="s">
        <v>1036</v>
      </c>
    </row>
    <row r="941" spans="1:15" ht="15" x14ac:dyDescent="0.25">
      <c r="A941">
        <v>939</v>
      </c>
      <c r="B941" s="7" t="s">
        <v>813</v>
      </c>
      <c r="C941" s="13" t="s">
        <v>1691</v>
      </c>
      <c r="D941" s="14" t="s">
        <v>16</v>
      </c>
      <c r="E941" s="16">
        <v>7726</v>
      </c>
      <c r="F941" s="15">
        <v>9480</v>
      </c>
      <c r="G941" s="17" t="s">
        <v>6</v>
      </c>
      <c r="H941" s="18">
        <v>1</v>
      </c>
      <c r="I941" s="19"/>
      <c r="J941" s="19">
        <v>9100.7999999999993</v>
      </c>
      <c r="K941" s="19">
        <f t="shared" si="14"/>
        <v>1374.7999999999993</v>
      </c>
      <c r="L941" s="18"/>
      <c r="M941" s="18"/>
      <c r="N941" s="18"/>
      <c r="O941" s="26" t="s">
        <v>1036</v>
      </c>
    </row>
    <row r="942" spans="1:15" ht="15" x14ac:dyDescent="0.25">
      <c r="A942">
        <v>940</v>
      </c>
      <c r="B942" s="8" t="s">
        <v>814</v>
      </c>
      <c r="C942" s="21" t="s">
        <v>1521</v>
      </c>
      <c r="D942" s="22" t="s">
        <v>16</v>
      </c>
      <c r="E942" s="15">
        <v>88160</v>
      </c>
      <c r="F942" s="23">
        <v>32971</v>
      </c>
      <c r="G942" s="24" t="s">
        <v>6</v>
      </c>
      <c r="H942" s="18">
        <v>1</v>
      </c>
      <c r="I942" s="19">
        <f>VLOOKUP(B942,[1]Лист2!$A:$J,10,0)</f>
        <v>34199.199999999997</v>
      </c>
      <c r="J942" s="29">
        <v>45500</v>
      </c>
      <c r="K942" s="19">
        <f t="shared" si="14"/>
        <v>-42660</v>
      </c>
      <c r="L942" s="18"/>
      <c r="M942" s="18"/>
      <c r="N942" s="18"/>
      <c r="O942" s="26" t="s">
        <v>1036</v>
      </c>
    </row>
    <row r="943" spans="1:15" ht="15" x14ac:dyDescent="0.25">
      <c r="A943">
        <v>941</v>
      </c>
      <c r="B943" s="7" t="s">
        <v>815</v>
      </c>
      <c r="C943" s="13" t="s">
        <v>1692</v>
      </c>
      <c r="D943" s="14" t="s">
        <v>16</v>
      </c>
      <c r="E943" s="16">
        <v>61364</v>
      </c>
      <c r="F943" s="15">
        <v>70717</v>
      </c>
      <c r="G943" s="17" t="s">
        <v>6</v>
      </c>
      <c r="H943" s="18">
        <v>1</v>
      </c>
      <c r="I943" s="19"/>
      <c r="J943" s="19">
        <v>63950</v>
      </c>
      <c r="K943" s="19">
        <f t="shared" si="14"/>
        <v>2586</v>
      </c>
      <c r="L943" s="18"/>
      <c r="M943" s="18"/>
      <c r="N943" s="18"/>
      <c r="O943" s="26" t="s">
        <v>1036</v>
      </c>
    </row>
    <row r="944" spans="1:15" ht="15" x14ac:dyDescent="0.25">
      <c r="A944">
        <v>942</v>
      </c>
      <c r="B944" s="8" t="s">
        <v>816</v>
      </c>
      <c r="C944" s="21" t="s">
        <v>1693</v>
      </c>
      <c r="D944" s="22" t="s">
        <v>16</v>
      </c>
      <c r="E944" s="23">
        <v>17008</v>
      </c>
      <c r="F944" s="15">
        <v>20859</v>
      </c>
      <c r="G944" s="24" t="s">
        <v>6</v>
      </c>
      <c r="H944" s="18">
        <v>1</v>
      </c>
      <c r="I944" s="19"/>
      <c r="J944" s="19">
        <v>20024.64</v>
      </c>
      <c r="K944" s="19">
        <f t="shared" si="14"/>
        <v>3016.6399999999994</v>
      </c>
      <c r="L944" s="18"/>
      <c r="M944" s="18"/>
      <c r="N944" s="18"/>
      <c r="O944" s="26" t="s">
        <v>1036</v>
      </c>
    </row>
    <row r="945" spans="1:15" ht="15" x14ac:dyDescent="0.25">
      <c r="A945">
        <v>943</v>
      </c>
      <c r="B945" s="7" t="s">
        <v>817</v>
      </c>
      <c r="C945" s="13" t="s">
        <v>1694</v>
      </c>
      <c r="D945" s="14" t="s">
        <v>16</v>
      </c>
      <c r="E945" s="15">
        <v>3009</v>
      </c>
      <c r="F945" s="16">
        <v>1632</v>
      </c>
      <c r="G945" s="17" t="s">
        <v>6</v>
      </c>
      <c r="H945" s="18">
        <v>1</v>
      </c>
      <c r="I945" s="19">
        <f>VLOOKUP(B945,[1]Лист2!$A:$J,10,0)</f>
        <v>2427.04</v>
      </c>
      <c r="J945" s="29">
        <v>2451.3103999999998</v>
      </c>
      <c r="K945" s="19">
        <f t="shared" si="14"/>
        <v>-557.68960000000015</v>
      </c>
      <c r="L945" s="18"/>
      <c r="M945" s="18"/>
      <c r="N945" s="18"/>
      <c r="O945" s="26" t="s">
        <v>1036</v>
      </c>
    </row>
    <row r="946" spans="1:15" ht="15" x14ac:dyDescent="0.25">
      <c r="A946">
        <v>944</v>
      </c>
      <c r="B946" s="8" t="s">
        <v>817</v>
      </c>
      <c r="C946" s="21" t="s">
        <v>1694</v>
      </c>
      <c r="D946" s="22" t="s">
        <v>16</v>
      </c>
      <c r="E946" s="15">
        <v>3012</v>
      </c>
      <c r="F946" s="23">
        <v>1632</v>
      </c>
      <c r="G946" s="24" t="s">
        <v>6</v>
      </c>
      <c r="H946" s="18">
        <v>1</v>
      </c>
      <c r="I946" s="19">
        <f>VLOOKUP(B946,[1]Лист2!$A:$J,10,0)</f>
        <v>2427.04</v>
      </c>
      <c r="J946" s="29">
        <v>2451.3103999999998</v>
      </c>
      <c r="K946" s="19">
        <f t="shared" si="14"/>
        <v>-560.68960000000015</v>
      </c>
      <c r="L946" s="18"/>
      <c r="M946" s="18"/>
      <c r="N946" s="18"/>
      <c r="O946" s="26" t="s">
        <v>1036</v>
      </c>
    </row>
    <row r="947" spans="1:15" ht="15" x14ac:dyDescent="0.25">
      <c r="A947">
        <v>945</v>
      </c>
      <c r="B947" s="7" t="s">
        <v>818</v>
      </c>
      <c r="C947" s="13" t="s">
        <v>1695</v>
      </c>
      <c r="D947" s="14" t="s">
        <v>16</v>
      </c>
      <c r="E947" s="15">
        <v>6293</v>
      </c>
      <c r="F947" s="16">
        <v>5616</v>
      </c>
      <c r="G947" s="17" t="s">
        <v>6</v>
      </c>
      <c r="H947" s="18">
        <v>1</v>
      </c>
      <c r="I947" s="19">
        <f>VLOOKUP(B947,[1]Лист2!$A:$J,10,0)</f>
        <v>5849.915</v>
      </c>
      <c r="J947" s="29">
        <v>5908.4141499999996</v>
      </c>
      <c r="K947" s="19">
        <f t="shared" si="14"/>
        <v>-384.58585000000039</v>
      </c>
      <c r="L947" s="18"/>
      <c r="M947" s="18"/>
      <c r="N947" s="18"/>
      <c r="O947" s="26" t="s">
        <v>1036</v>
      </c>
    </row>
    <row r="948" spans="1:15" ht="15" x14ac:dyDescent="0.25">
      <c r="A948">
        <v>946</v>
      </c>
      <c r="B948" s="8" t="s">
        <v>819</v>
      </c>
      <c r="C948" s="21" t="s">
        <v>1696</v>
      </c>
      <c r="D948" s="22" t="s">
        <v>16</v>
      </c>
      <c r="E948" s="15">
        <v>11673</v>
      </c>
      <c r="F948" s="23">
        <v>6725</v>
      </c>
      <c r="G948" s="24" t="s">
        <v>6</v>
      </c>
      <c r="H948" s="18">
        <v>1</v>
      </c>
      <c r="I948" s="19">
        <f>VLOOKUP(B948,[1]Лист2!$A:$J,10,0)</f>
        <v>8188.3050000000003</v>
      </c>
      <c r="J948" s="29">
        <v>8270.1880500000007</v>
      </c>
      <c r="K948" s="19">
        <f t="shared" si="14"/>
        <v>-3402.8119499999993</v>
      </c>
      <c r="L948" s="18"/>
      <c r="M948" s="18"/>
      <c r="N948" s="18"/>
      <c r="O948" s="26" t="s">
        <v>1036</v>
      </c>
    </row>
    <row r="949" spans="1:15" ht="15" x14ac:dyDescent="0.25">
      <c r="A949">
        <v>947</v>
      </c>
      <c r="B949" s="7" t="s">
        <v>820</v>
      </c>
      <c r="C949" s="13" t="s">
        <v>1697</v>
      </c>
      <c r="D949" s="14" t="s">
        <v>16</v>
      </c>
      <c r="E949" s="15">
        <v>39915</v>
      </c>
      <c r="F949" s="16">
        <v>15087</v>
      </c>
      <c r="G949" s="17" t="s">
        <v>6</v>
      </c>
      <c r="H949" s="18">
        <v>1</v>
      </c>
      <c r="I949" s="19">
        <f>VLOOKUP(B949,[1]Лист2!$A:$J,10,0)</f>
        <v>13448.205</v>
      </c>
      <c r="J949" s="19">
        <v>20050</v>
      </c>
      <c r="K949" s="19">
        <f t="shared" si="14"/>
        <v>-19865</v>
      </c>
      <c r="L949" s="18"/>
      <c r="M949" s="18"/>
      <c r="N949" s="18"/>
      <c r="O949" s="26" t="s">
        <v>1036</v>
      </c>
    </row>
    <row r="950" spans="1:15" ht="15" x14ac:dyDescent="0.25">
      <c r="A950">
        <v>948</v>
      </c>
      <c r="B950" s="8" t="s">
        <v>820</v>
      </c>
      <c r="C950" s="21" t="s">
        <v>1697</v>
      </c>
      <c r="D950" s="22" t="s">
        <v>16</v>
      </c>
      <c r="E950" s="15">
        <v>39915</v>
      </c>
      <c r="F950" s="23">
        <v>15087</v>
      </c>
      <c r="G950" s="24" t="s">
        <v>6</v>
      </c>
      <c r="H950" s="18">
        <v>1</v>
      </c>
      <c r="I950" s="19">
        <f>VLOOKUP(B950,[1]Лист2!$A:$J,10,0)</f>
        <v>13448.205</v>
      </c>
      <c r="J950" s="19">
        <v>24050</v>
      </c>
      <c r="K950" s="19">
        <f t="shared" si="14"/>
        <v>-15865</v>
      </c>
      <c r="L950" s="18"/>
      <c r="M950" s="18"/>
      <c r="N950" s="18"/>
      <c r="O950" s="26" t="s">
        <v>1036</v>
      </c>
    </row>
    <row r="951" spans="1:15" ht="15" x14ac:dyDescent="0.25">
      <c r="A951">
        <v>949</v>
      </c>
      <c r="B951" s="7" t="s">
        <v>821</v>
      </c>
      <c r="C951" s="13" t="s">
        <v>1698</v>
      </c>
      <c r="D951" s="14" t="s">
        <v>16</v>
      </c>
      <c r="E951" s="16">
        <v>7716</v>
      </c>
      <c r="F951" s="15">
        <v>8583.42</v>
      </c>
      <c r="G951" s="17" t="s">
        <v>71</v>
      </c>
      <c r="H951" s="18">
        <v>1</v>
      </c>
      <c r="I951" s="19">
        <f>VLOOKUP(B951,[1]Лист2!$A:$J,10,0)</f>
        <v>4676.78</v>
      </c>
      <c r="J951" s="19">
        <v>8240.0831999999991</v>
      </c>
      <c r="K951" s="19">
        <f t="shared" si="14"/>
        <v>524.08319999999912</v>
      </c>
      <c r="L951" s="18"/>
      <c r="M951" s="18"/>
      <c r="N951" s="18"/>
      <c r="O951" s="26" t="s">
        <v>1036</v>
      </c>
    </row>
    <row r="952" spans="1:15" ht="15" x14ac:dyDescent="0.25">
      <c r="A952">
        <v>950</v>
      </c>
      <c r="B952" s="8" t="s">
        <v>822</v>
      </c>
      <c r="C952" s="21" t="s">
        <v>1699</v>
      </c>
      <c r="D952" s="22" t="s">
        <v>16</v>
      </c>
      <c r="E952" s="15">
        <v>18094</v>
      </c>
      <c r="F952" s="23">
        <v>14692</v>
      </c>
      <c r="G952" s="24" t="s">
        <v>6</v>
      </c>
      <c r="H952" s="18">
        <v>1</v>
      </c>
      <c r="I952" s="19">
        <f>VLOOKUP(B952,[1]Лист2!$A:$J,10,0)</f>
        <v>11773.705</v>
      </c>
      <c r="J952" s="19">
        <v>14104.32</v>
      </c>
      <c r="K952" s="19">
        <f t="shared" si="14"/>
        <v>-3989.6800000000003</v>
      </c>
      <c r="L952" s="18"/>
      <c r="M952" s="18"/>
      <c r="N952" s="18"/>
      <c r="O952" s="26" t="s">
        <v>1036</v>
      </c>
    </row>
    <row r="953" spans="1:15" ht="15" x14ac:dyDescent="0.25">
      <c r="A953">
        <v>951</v>
      </c>
      <c r="B953" s="7" t="s">
        <v>823</v>
      </c>
      <c r="C953" s="13" t="s">
        <v>1695</v>
      </c>
      <c r="D953" s="14" t="s">
        <v>16</v>
      </c>
      <c r="E953" s="16">
        <v>5998</v>
      </c>
      <c r="F953" s="15">
        <v>6276</v>
      </c>
      <c r="G953" s="17" t="s">
        <v>6</v>
      </c>
      <c r="H953" s="18">
        <v>1</v>
      </c>
      <c r="I953" s="19"/>
      <c r="J953" s="19">
        <v>6024.96</v>
      </c>
      <c r="K953" s="19">
        <f t="shared" si="14"/>
        <v>26.960000000000036</v>
      </c>
      <c r="L953" s="18"/>
      <c r="M953" s="18"/>
      <c r="N953" s="18"/>
      <c r="O953" s="26" t="s">
        <v>1036</v>
      </c>
    </row>
    <row r="954" spans="1:15" ht="15" x14ac:dyDescent="0.25">
      <c r="A954">
        <v>952</v>
      </c>
      <c r="B954" s="8" t="s">
        <v>824</v>
      </c>
      <c r="C954" s="21" t="s">
        <v>1695</v>
      </c>
      <c r="D954" s="22" t="s">
        <v>16</v>
      </c>
      <c r="E954" s="15">
        <v>10620</v>
      </c>
      <c r="F954" s="23">
        <v>6688</v>
      </c>
      <c r="G954" s="24" t="s">
        <v>6</v>
      </c>
      <c r="H954" s="18">
        <v>1</v>
      </c>
      <c r="I954" s="19">
        <f>VLOOKUP(B954,[1]Лист2!$A:$J,10,0)</f>
        <v>6755.13</v>
      </c>
      <c r="J954" s="29">
        <v>6822.6813000000002</v>
      </c>
      <c r="K954" s="19">
        <f t="shared" si="14"/>
        <v>-3797.3186999999998</v>
      </c>
      <c r="L954" s="18"/>
      <c r="M954" s="18"/>
      <c r="N954" s="18"/>
      <c r="O954" s="26" t="s">
        <v>1036</v>
      </c>
    </row>
    <row r="955" spans="1:15" ht="15" x14ac:dyDescent="0.25">
      <c r="A955">
        <v>953</v>
      </c>
      <c r="B955" s="7" t="s">
        <v>824</v>
      </c>
      <c r="C955" s="13" t="s">
        <v>1695</v>
      </c>
      <c r="D955" s="14" t="s">
        <v>16</v>
      </c>
      <c r="E955" s="15">
        <v>10620</v>
      </c>
      <c r="F955" s="16">
        <v>6688</v>
      </c>
      <c r="G955" s="17" t="s">
        <v>6</v>
      </c>
      <c r="H955" s="18">
        <v>1</v>
      </c>
      <c r="I955" s="19">
        <f>VLOOKUP(B955,[1]Лист2!$A:$J,10,0)</f>
        <v>6755.13</v>
      </c>
      <c r="J955" s="29">
        <v>6822.6813000000002</v>
      </c>
      <c r="K955" s="19">
        <f t="shared" si="14"/>
        <v>-3797.3186999999998</v>
      </c>
      <c r="L955" s="18"/>
      <c r="M955" s="18"/>
      <c r="N955" s="18"/>
      <c r="O955" s="26" t="s">
        <v>1036</v>
      </c>
    </row>
    <row r="956" spans="1:15" ht="15" x14ac:dyDescent="0.25">
      <c r="A956">
        <v>954</v>
      </c>
      <c r="B956" s="8" t="s">
        <v>824</v>
      </c>
      <c r="C956" s="21" t="s">
        <v>1695</v>
      </c>
      <c r="D956" s="22" t="s">
        <v>16</v>
      </c>
      <c r="E956" s="15">
        <v>10620</v>
      </c>
      <c r="F956" s="23">
        <v>6688</v>
      </c>
      <c r="G956" s="24" t="s">
        <v>6</v>
      </c>
      <c r="H956" s="18">
        <v>1</v>
      </c>
      <c r="I956" s="19">
        <f>VLOOKUP(B956,[1]Лист2!$A:$J,10,0)</f>
        <v>6755.13</v>
      </c>
      <c r="J956" s="29">
        <v>6822.6813000000002</v>
      </c>
      <c r="K956" s="19">
        <f t="shared" si="14"/>
        <v>-3797.3186999999998</v>
      </c>
      <c r="L956" s="18"/>
      <c r="M956" s="18"/>
      <c r="N956" s="18"/>
      <c r="O956" s="26" t="s">
        <v>1036</v>
      </c>
    </row>
    <row r="957" spans="1:15" ht="15" x14ac:dyDescent="0.25">
      <c r="A957">
        <v>955</v>
      </c>
      <c r="B957" s="7" t="s">
        <v>824</v>
      </c>
      <c r="C957" s="13" t="s">
        <v>1695</v>
      </c>
      <c r="D957" s="14" t="s">
        <v>16</v>
      </c>
      <c r="E957" s="15">
        <v>10620</v>
      </c>
      <c r="F957" s="16">
        <v>6688</v>
      </c>
      <c r="G957" s="17" t="s">
        <v>6</v>
      </c>
      <c r="H957" s="18">
        <v>1</v>
      </c>
      <c r="I957" s="19">
        <f>VLOOKUP(B957,[1]Лист2!$A:$J,10,0)</f>
        <v>6755.13</v>
      </c>
      <c r="J957" s="29">
        <v>6822.6813000000002</v>
      </c>
      <c r="K957" s="19">
        <f t="shared" si="14"/>
        <v>-3797.3186999999998</v>
      </c>
      <c r="L957" s="18"/>
      <c r="M957" s="18"/>
      <c r="N957" s="18"/>
      <c r="O957" s="26" t="s">
        <v>1036</v>
      </c>
    </row>
    <row r="958" spans="1:15" ht="15" x14ac:dyDescent="0.25">
      <c r="A958">
        <v>956</v>
      </c>
      <c r="B958" s="8" t="s">
        <v>825</v>
      </c>
      <c r="C958" s="21" t="s">
        <v>1299</v>
      </c>
      <c r="D958" s="22" t="s">
        <v>16</v>
      </c>
      <c r="E958" s="23">
        <v>5998</v>
      </c>
      <c r="F958" s="15">
        <v>7119</v>
      </c>
      <c r="G958" s="24" t="s">
        <v>6</v>
      </c>
      <c r="H958" s="18">
        <v>1</v>
      </c>
      <c r="I958" s="19"/>
      <c r="J958" s="19">
        <v>6834.24</v>
      </c>
      <c r="K958" s="19">
        <f t="shared" si="14"/>
        <v>836.23999999999978</v>
      </c>
      <c r="L958" s="18"/>
      <c r="M958" s="18"/>
      <c r="N958" s="18"/>
      <c r="O958" s="26" t="s">
        <v>1036</v>
      </c>
    </row>
    <row r="959" spans="1:15" ht="15" x14ac:dyDescent="0.25">
      <c r="A959">
        <v>957</v>
      </c>
      <c r="B959" s="7" t="s">
        <v>826</v>
      </c>
      <c r="C959" s="13" t="s">
        <v>1700</v>
      </c>
      <c r="D959" s="14" t="s">
        <v>16</v>
      </c>
      <c r="E959" s="15">
        <v>10620</v>
      </c>
      <c r="F959" s="16">
        <v>5478</v>
      </c>
      <c r="G959" s="17" t="s">
        <v>6</v>
      </c>
      <c r="H959" s="18">
        <v>1</v>
      </c>
      <c r="I959" s="19">
        <f>VLOOKUP(B959,[1]Лист2!$A:$J,10,0)</f>
        <v>6236.0349999999999</v>
      </c>
      <c r="J959" s="29">
        <v>6298.3953499999998</v>
      </c>
      <c r="K959" s="19">
        <f t="shared" si="14"/>
        <v>-4321.6046500000002</v>
      </c>
      <c r="L959" s="18"/>
      <c r="M959" s="18"/>
      <c r="N959" s="18"/>
      <c r="O959" s="26" t="s">
        <v>1036</v>
      </c>
    </row>
    <row r="960" spans="1:15" ht="15" x14ac:dyDescent="0.25">
      <c r="A960">
        <v>958</v>
      </c>
      <c r="B960" s="8" t="s">
        <v>826</v>
      </c>
      <c r="C960" s="21" t="s">
        <v>1700</v>
      </c>
      <c r="D960" s="22" t="s">
        <v>16</v>
      </c>
      <c r="E960" s="15">
        <v>10620</v>
      </c>
      <c r="F960" s="23">
        <v>5478</v>
      </c>
      <c r="G960" s="24" t="s">
        <v>6</v>
      </c>
      <c r="H960" s="18">
        <v>1</v>
      </c>
      <c r="I960" s="19">
        <f>VLOOKUP(B960,[1]Лист2!$A:$J,10,0)</f>
        <v>6236.0349999999999</v>
      </c>
      <c r="J960" s="29">
        <v>6298.3953499999998</v>
      </c>
      <c r="K960" s="19">
        <f t="shared" si="14"/>
        <v>-4321.6046500000002</v>
      </c>
      <c r="L960" s="18"/>
      <c r="M960" s="18"/>
      <c r="N960" s="18"/>
      <c r="O960" s="26" t="s">
        <v>1036</v>
      </c>
    </row>
    <row r="961" spans="1:15" ht="15" x14ac:dyDescent="0.25">
      <c r="A961">
        <v>959</v>
      </c>
      <c r="B961" s="7" t="s">
        <v>827</v>
      </c>
      <c r="C961" s="13" t="s">
        <v>1701</v>
      </c>
      <c r="D961" s="14" t="s">
        <v>16</v>
      </c>
      <c r="E961" s="16">
        <v>20708</v>
      </c>
      <c r="F961" s="15">
        <v>25172.46</v>
      </c>
      <c r="G961" s="17" t="s">
        <v>9</v>
      </c>
      <c r="H961" s="18">
        <v>1</v>
      </c>
      <c r="I961" s="19">
        <f>VLOOKUP(B961,[1]Лист2!$A:$J,10,0)</f>
        <v>12278.025</v>
      </c>
      <c r="J961" s="19">
        <v>23100</v>
      </c>
      <c r="K961" s="19">
        <f t="shared" si="14"/>
        <v>2392</v>
      </c>
      <c r="L961" s="18"/>
      <c r="M961" s="18"/>
      <c r="N961" s="18"/>
      <c r="O961" s="26" t="s">
        <v>1036</v>
      </c>
    </row>
    <row r="962" spans="1:15" ht="15" x14ac:dyDescent="0.25">
      <c r="A962">
        <v>960</v>
      </c>
      <c r="B962" s="8" t="s">
        <v>828</v>
      </c>
      <c r="C962" s="21" t="s">
        <v>1702</v>
      </c>
      <c r="D962" s="22" t="s">
        <v>16</v>
      </c>
      <c r="E962" s="15">
        <v>17708</v>
      </c>
      <c r="F962" s="23">
        <v>10013</v>
      </c>
      <c r="G962" s="24" t="s">
        <v>6</v>
      </c>
      <c r="H962" s="18">
        <v>1</v>
      </c>
      <c r="I962" s="19">
        <f>VLOOKUP(B962,[1]Лист2!$A:$J,10,0)</f>
        <v>8779.3050000000003</v>
      </c>
      <c r="J962" s="19">
        <v>9612.48</v>
      </c>
      <c r="K962" s="19">
        <f t="shared" si="14"/>
        <v>-8095.52</v>
      </c>
      <c r="L962" s="18"/>
      <c r="M962" s="18"/>
      <c r="N962" s="18"/>
      <c r="O962" s="26" t="s">
        <v>1036</v>
      </c>
    </row>
    <row r="963" spans="1:15" ht="15" x14ac:dyDescent="0.25">
      <c r="A963">
        <v>961</v>
      </c>
      <c r="B963" s="7" t="s">
        <v>829</v>
      </c>
      <c r="C963" s="13" t="s">
        <v>1703</v>
      </c>
      <c r="D963" s="14" t="s">
        <v>16</v>
      </c>
      <c r="E963" s="16">
        <v>18162</v>
      </c>
      <c r="F963" s="15">
        <v>21232</v>
      </c>
      <c r="G963" s="17" t="s">
        <v>6</v>
      </c>
      <c r="H963" s="18">
        <v>1</v>
      </c>
      <c r="I963" s="19"/>
      <c r="J963" s="19">
        <v>20382.719999999998</v>
      </c>
      <c r="K963" s="19">
        <f t="shared" ref="K963:K1026" si="15">J963-E963</f>
        <v>2220.7199999999975</v>
      </c>
      <c r="L963" s="18"/>
      <c r="M963" s="18"/>
      <c r="N963" s="18"/>
      <c r="O963" s="26" t="s">
        <v>1036</v>
      </c>
    </row>
    <row r="964" spans="1:15" ht="15" x14ac:dyDescent="0.25">
      <c r="A964">
        <v>962</v>
      </c>
      <c r="B964" s="8" t="s">
        <v>830</v>
      </c>
      <c r="C964" s="21" t="s">
        <v>1704</v>
      </c>
      <c r="D964" s="22" t="s">
        <v>16</v>
      </c>
      <c r="E964" s="23">
        <v>30062</v>
      </c>
      <c r="F964" s="15">
        <v>35027</v>
      </c>
      <c r="G964" s="24" t="s">
        <v>6</v>
      </c>
      <c r="H964" s="18">
        <v>1</v>
      </c>
      <c r="I964" s="19"/>
      <c r="J964" s="19">
        <v>31090</v>
      </c>
      <c r="K964" s="19">
        <f t="shared" si="15"/>
        <v>1028</v>
      </c>
      <c r="L964" s="18"/>
      <c r="M964" s="18"/>
      <c r="N964" s="18"/>
      <c r="O964" s="26" t="s">
        <v>1036</v>
      </c>
    </row>
    <row r="965" spans="1:15" ht="15" x14ac:dyDescent="0.25">
      <c r="A965">
        <v>963</v>
      </c>
      <c r="B965" s="7" t="s">
        <v>831</v>
      </c>
      <c r="C965" s="13" t="s">
        <v>1705</v>
      </c>
      <c r="D965" s="14" t="s">
        <v>16</v>
      </c>
      <c r="E965" s="15">
        <v>17708</v>
      </c>
      <c r="F965" s="16">
        <v>4533</v>
      </c>
      <c r="G965" s="17" t="s">
        <v>6</v>
      </c>
      <c r="H965" s="18">
        <v>1</v>
      </c>
      <c r="I965" s="19">
        <f>VLOOKUP(B965,[1]Лист2!$A:$J,10,0)</f>
        <v>4459.0950000000003</v>
      </c>
      <c r="J965" s="29">
        <v>8500</v>
      </c>
      <c r="K965" s="19">
        <f t="shared" si="15"/>
        <v>-9208</v>
      </c>
      <c r="L965" s="18"/>
      <c r="M965" s="18"/>
      <c r="N965" s="18"/>
      <c r="O965" s="26" t="s">
        <v>1036</v>
      </c>
    </row>
    <row r="966" spans="1:15" ht="15" x14ac:dyDescent="0.25">
      <c r="A966">
        <v>964</v>
      </c>
      <c r="B966" s="8" t="s">
        <v>832</v>
      </c>
      <c r="C966" s="21" t="s">
        <v>1706</v>
      </c>
      <c r="D966" s="22" t="s">
        <v>16</v>
      </c>
      <c r="E966" s="15">
        <v>16326</v>
      </c>
      <c r="F966" s="23">
        <v>16202</v>
      </c>
      <c r="G966" s="24" t="s">
        <v>6</v>
      </c>
      <c r="H966" s="18">
        <v>1</v>
      </c>
      <c r="I966" s="19">
        <f>VLOOKUP(B966,[1]Лист2!$A:$J,10,0)</f>
        <v>16050.574999999999</v>
      </c>
      <c r="J966" s="29">
        <v>16211.080749999999</v>
      </c>
      <c r="K966" s="19">
        <f t="shared" si="15"/>
        <v>-114.91925000000083</v>
      </c>
      <c r="L966" s="18"/>
      <c r="M966" s="18"/>
      <c r="N966" s="18"/>
      <c r="O966" s="26" t="s">
        <v>1036</v>
      </c>
    </row>
    <row r="967" spans="1:15" ht="15" x14ac:dyDescent="0.25">
      <c r="A967">
        <v>965</v>
      </c>
      <c r="B967" s="7" t="s">
        <v>832</v>
      </c>
      <c r="C967" s="13" t="s">
        <v>1706</v>
      </c>
      <c r="D967" s="14" t="s">
        <v>16</v>
      </c>
      <c r="E967" s="16">
        <v>12665</v>
      </c>
      <c r="F967" s="15">
        <v>16202</v>
      </c>
      <c r="G967" s="17" t="s">
        <v>6</v>
      </c>
      <c r="H967" s="18">
        <v>1</v>
      </c>
      <c r="I967" s="19">
        <f>VLOOKUP(B967,[1]Лист2!$A:$J,10,0)</f>
        <v>16050.574999999999</v>
      </c>
      <c r="J967" s="29">
        <v>13750</v>
      </c>
      <c r="K967" s="19">
        <f t="shared" si="15"/>
        <v>1085</v>
      </c>
      <c r="L967" s="18"/>
      <c r="M967" s="18"/>
      <c r="N967" s="18"/>
      <c r="O967" s="26" t="s">
        <v>1036</v>
      </c>
    </row>
    <row r="968" spans="1:15" ht="15" x14ac:dyDescent="0.25">
      <c r="A968">
        <v>966</v>
      </c>
      <c r="B968" s="8" t="s">
        <v>832</v>
      </c>
      <c r="C968" s="21" t="s">
        <v>1706</v>
      </c>
      <c r="D968" s="22" t="s">
        <v>16</v>
      </c>
      <c r="E968" s="23">
        <v>12665</v>
      </c>
      <c r="F968" s="15">
        <v>16202</v>
      </c>
      <c r="G968" s="24" t="s">
        <v>6</v>
      </c>
      <c r="H968" s="18">
        <v>1</v>
      </c>
      <c r="I968" s="19">
        <f>VLOOKUP(B968,[1]Лист2!$A:$J,10,0)</f>
        <v>16050.574999999999</v>
      </c>
      <c r="J968" s="29">
        <v>13750</v>
      </c>
      <c r="K968" s="19">
        <f t="shared" si="15"/>
        <v>1085</v>
      </c>
      <c r="L968" s="18"/>
      <c r="M968" s="18"/>
      <c r="N968" s="18"/>
      <c r="O968" s="26" t="s">
        <v>1036</v>
      </c>
    </row>
    <row r="969" spans="1:15" ht="15" x14ac:dyDescent="0.25">
      <c r="A969">
        <v>967</v>
      </c>
      <c r="B969" s="7" t="s">
        <v>833</v>
      </c>
      <c r="C969" s="13" t="s">
        <v>1707</v>
      </c>
      <c r="D969" s="14" t="s">
        <v>16</v>
      </c>
      <c r="E969" s="15">
        <v>42390</v>
      </c>
      <c r="F969" s="16">
        <v>24206</v>
      </c>
      <c r="G969" s="17" t="s">
        <v>6</v>
      </c>
      <c r="H969" s="18">
        <v>1</v>
      </c>
      <c r="I969" s="19">
        <f>VLOOKUP(B969,[1]Лист2!$A:$J,10,0)</f>
        <v>29823.829999999998</v>
      </c>
      <c r="J969" s="29">
        <v>30122.068299999999</v>
      </c>
      <c r="K969" s="19">
        <f t="shared" si="15"/>
        <v>-12267.931700000001</v>
      </c>
      <c r="L969" s="18"/>
      <c r="M969" s="18"/>
      <c r="N969" s="18"/>
      <c r="O969" s="26" t="s">
        <v>1036</v>
      </c>
    </row>
    <row r="970" spans="1:15" ht="15" x14ac:dyDescent="0.25">
      <c r="A970">
        <v>968</v>
      </c>
      <c r="B970" s="8" t="s">
        <v>834</v>
      </c>
      <c r="C970" s="21" t="s">
        <v>1708</v>
      </c>
      <c r="D970" s="22" t="s">
        <v>16</v>
      </c>
      <c r="E970" s="15">
        <v>14756</v>
      </c>
      <c r="F970" s="23">
        <v>5500</v>
      </c>
      <c r="G970" s="24" t="s">
        <v>6</v>
      </c>
      <c r="H970" s="18">
        <v>1</v>
      </c>
      <c r="I970" s="19">
        <f>VLOOKUP(B970,[1]Лист2!$A:$J,10,0)</f>
        <v>6677.3149999999996</v>
      </c>
      <c r="J970" s="29">
        <v>6744.0881499999996</v>
      </c>
      <c r="K970" s="19">
        <f t="shared" si="15"/>
        <v>-8011.9118500000004</v>
      </c>
      <c r="L970" s="18"/>
      <c r="M970" s="18"/>
      <c r="N970" s="18"/>
      <c r="O970" s="26" t="s">
        <v>1036</v>
      </c>
    </row>
    <row r="971" spans="1:15" ht="15" x14ac:dyDescent="0.25">
      <c r="A971">
        <v>969</v>
      </c>
      <c r="B971" s="7" t="s">
        <v>835</v>
      </c>
      <c r="C971" s="13" t="s">
        <v>1490</v>
      </c>
      <c r="D971" s="14" t="s">
        <v>16</v>
      </c>
      <c r="E971" s="16">
        <v>15327</v>
      </c>
      <c r="F971" s="15">
        <v>17120.349999999999</v>
      </c>
      <c r="G971" s="17" t="s">
        <v>78</v>
      </c>
      <c r="H971" s="18">
        <v>1</v>
      </c>
      <c r="I971" s="19"/>
      <c r="J971" s="19">
        <v>16435.535999999996</v>
      </c>
      <c r="K971" s="19">
        <f t="shared" si="15"/>
        <v>1108.5359999999964</v>
      </c>
      <c r="L971" s="18"/>
      <c r="M971" s="18"/>
      <c r="N971" s="18"/>
      <c r="O971" s="26" t="s">
        <v>1036</v>
      </c>
    </row>
    <row r="972" spans="1:15" ht="15" x14ac:dyDescent="0.25">
      <c r="A972">
        <v>970</v>
      </c>
      <c r="B972" s="8" t="s">
        <v>836</v>
      </c>
      <c r="C972" s="21" t="s">
        <v>1709</v>
      </c>
      <c r="D972" s="22" t="s">
        <v>16</v>
      </c>
      <c r="E972" s="15">
        <v>16326</v>
      </c>
      <c r="F972" s="23">
        <v>16251</v>
      </c>
      <c r="G972" s="24" t="s">
        <v>6</v>
      </c>
      <c r="H972" s="18">
        <v>1</v>
      </c>
      <c r="I972" s="19"/>
      <c r="J972" s="19">
        <v>16489.259999999998</v>
      </c>
      <c r="K972" s="19">
        <f t="shared" si="15"/>
        <v>163.2599999999984</v>
      </c>
      <c r="L972" s="18"/>
      <c r="M972" s="18"/>
      <c r="N972" s="18"/>
      <c r="O972" s="26" t="s">
        <v>1036</v>
      </c>
    </row>
    <row r="973" spans="1:15" ht="15" x14ac:dyDescent="0.25">
      <c r="A973">
        <v>971</v>
      </c>
      <c r="B973" s="7" t="s">
        <v>837</v>
      </c>
      <c r="C973" s="13" t="s">
        <v>1710</v>
      </c>
      <c r="D973" s="14" t="s">
        <v>16</v>
      </c>
      <c r="E973" s="15">
        <v>5337</v>
      </c>
      <c r="F973" s="16">
        <v>671</v>
      </c>
      <c r="G973" s="17" t="s">
        <v>6</v>
      </c>
      <c r="H973" s="18">
        <v>1</v>
      </c>
      <c r="I973" s="19">
        <f>VLOOKUP(B973,[1]Лист2!$A:$J,10,0)</f>
        <v>1389.835</v>
      </c>
      <c r="J973" s="29">
        <v>1690</v>
      </c>
      <c r="K973" s="19">
        <f t="shared" si="15"/>
        <v>-3647</v>
      </c>
      <c r="L973" s="18"/>
      <c r="M973" s="18"/>
      <c r="N973" s="18"/>
      <c r="O973" s="26" t="s">
        <v>1036</v>
      </c>
    </row>
    <row r="974" spans="1:15" ht="15" x14ac:dyDescent="0.25">
      <c r="A974">
        <v>972</v>
      </c>
      <c r="B974" s="8" t="s">
        <v>838</v>
      </c>
      <c r="C974" s="21" t="s">
        <v>1053</v>
      </c>
      <c r="D974" s="22" t="s">
        <v>16</v>
      </c>
      <c r="E974" s="15">
        <v>7183</v>
      </c>
      <c r="F974" s="23">
        <v>6163</v>
      </c>
      <c r="G974" s="24" t="s">
        <v>6</v>
      </c>
      <c r="H974" s="18">
        <v>1</v>
      </c>
      <c r="I974" s="19">
        <f>VLOOKUP(B974,[1]Лист2!$A:$J,10,0)</f>
        <v>6108.97</v>
      </c>
      <c r="J974" s="29">
        <v>6170.0597000000007</v>
      </c>
      <c r="K974" s="19">
        <f t="shared" si="15"/>
        <v>-1012.9402999999993</v>
      </c>
      <c r="L974" s="18"/>
      <c r="M974" s="18"/>
      <c r="N974" s="18"/>
      <c r="O974" s="26" t="s">
        <v>1036</v>
      </c>
    </row>
    <row r="975" spans="1:15" ht="15" x14ac:dyDescent="0.25">
      <c r="A975">
        <v>973</v>
      </c>
      <c r="B975" s="7" t="s">
        <v>838</v>
      </c>
      <c r="C975" s="13" t="s">
        <v>1053</v>
      </c>
      <c r="D975" s="14" t="s">
        <v>16</v>
      </c>
      <c r="E975" s="15">
        <v>7183</v>
      </c>
      <c r="F975" s="16">
        <v>6163</v>
      </c>
      <c r="G975" s="17" t="s">
        <v>6</v>
      </c>
      <c r="H975" s="18">
        <v>1</v>
      </c>
      <c r="I975" s="19">
        <f>VLOOKUP(B975,[1]Лист2!$A:$J,10,0)</f>
        <v>6108.97</v>
      </c>
      <c r="J975" s="29">
        <v>6170.0597000000007</v>
      </c>
      <c r="K975" s="19">
        <f t="shared" si="15"/>
        <v>-1012.9402999999993</v>
      </c>
      <c r="L975" s="18"/>
      <c r="M975" s="18"/>
      <c r="N975" s="18"/>
      <c r="O975" s="26" t="s">
        <v>1036</v>
      </c>
    </row>
    <row r="976" spans="1:15" ht="15" x14ac:dyDescent="0.25">
      <c r="A976">
        <v>974</v>
      </c>
      <c r="B976" s="8" t="s">
        <v>838</v>
      </c>
      <c r="C976" s="21" t="s">
        <v>1053</v>
      </c>
      <c r="D976" s="22" t="s">
        <v>16</v>
      </c>
      <c r="E976" s="15">
        <v>7183</v>
      </c>
      <c r="F976" s="23">
        <v>6163</v>
      </c>
      <c r="G976" s="24" t="s">
        <v>6</v>
      </c>
      <c r="H976" s="18">
        <v>1</v>
      </c>
      <c r="I976" s="19">
        <f>VLOOKUP(B976,[1]Лист2!$A:$J,10,0)</f>
        <v>6108.97</v>
      </c>
      <c r="J976" s="29">
        <v>6170.0597000000007</v>
      </c>
      <c r="K976" s="19">
        <f t="shared" si="15"/>
        <v>-1012.9402999999993</v>
      </c>
      <c r="L976" s="18"/>
      <c r="M976" s="18"/>
      <c r="N976" s="18"/>
      <c r="O976" s="26" t="s">
        <v>1036</v>
      </c>
    </row>
    <row r="977" spans="1:15" ht="15" x14ac:dyDescent="0.25">
      <c r="A977">
        <v>975</v>
      </c>
      <c r="B977" s="7" t="s">
        <v>838</v>
      </c>
      <c r="C977" s="13" t="s">
        <v>1053</v>
      </c>
      <c r="D977" s="14" t="s">
        <v>16</v>
      </c>
      <c r="E977" s="15">
        <v>7183</v>
      </c>
      <c r="F977" s="16">
        <v>6163</v>
      </c>
      <c r="G977" s="17" t="s">
        <v>6</v>
      </c>
      <c r="H977" s="18">
        <v>1</v>
      </c>
      <c r="I977" s="19">
        <f>VLOOKUP(B977,[1]Лист2!$A:$J,10,0)</f>
        <v>6108.97</v>
      </c>
      <c r="J977" s="29">
        <v>6170.0597000000007</v>
      </c>
      <c r="K977" s="19">
        <f t="shared" si="15"/>
        <v>-1012.9402999999993</v>
      </c>
      <c r="L977" s="18"/>
      <c r="M977" s="18"/>
      <c r="N977" s="18"/>
      <c r="O977" s="26" t="s">
        <v>1036</v>
      </c>
    </row>
    <row r="978" spans="1:15" ht="15" x14ac:dyDescent="0.25">
      <c r="A978">
        <v>976</v>
      </c>
      <c r="B978" s="8" t="s">
        <v>838</v>
      </c>
      <c r="C978" s="21" t="s">
        <v>1053</v>
      </c>
      <c r="D978" s="22" t="s">
        <v>16</v>
      </c>
      <c r="E978" s="15">
        <v>7183</v>
      </c>
      <c r="F978" s="23">
        <v>6163</v>
      </c>
      <c r="G978" s="24" t="s">
        <v>6</v>
      </c>
      <c r="H978" s="18">
        <v>1</v>
      </c>
      <c r="I978" s="19">
        <f>VLOOKUP(B978,[1]Лист2!$A:$J,10,0)</f>
        <v>6108.97</v>
      </c>
      <c r="J978" s="29">
        <v>6170.0597000000007</v>
      </c>
      <c r="K978" s="19">
        <f t="shared" si="15"/>
        <v>-1012.9402999999993</v>
      </c>
      <c r="L978" s="18"/>
      <c r="M978" s="18"/>
      <c r="N978" s="18"/>
      <c r="O978" s="26" t="s">
        <v>1036</v>
      </c>
    </row>
    <row r="979" spans="1:15" ht="15" x14ac:dyDescent="0.25">
      <c r="A979">
        <v>977</v>
      </c>
      <c r="B979" s="7" t="s">
        <v>838</v>
      </c>
      <c r="C979" s="13" t="s">
        <v>1053</v>
      </c>
      <c r="D979" s="14" t="s">
        <v>16</v>
      </c>
      <c r="E979" s="15">
        <v>7183</v>
      </c>
      <c r="F979" s="16">
        <v>6163</v>
      </c>
      <c r="G979" s="17" t="s">
        <v>6</v>
      </c>
      <c r="H979" s="18">
        <v>1</v>
      </c>
      <c r="I979" s="19">
        <f>VLOOKUP(B979,[1]Лист2!$A:$J,10,0)</f>
        <v>6108.97</v>
      </c>
      <c r="J979" s="29">
        <v>6170.0597000000007</v>
      </c>
      <c r="K979" s="19">
        <f t="shared" si="15"/>
        <v>-1012.9402999999993</v>
      </c>
      <c r="L979" s="18"/>
      <c r="M979" s="18"/>
      <c r="N979" s="18"/>
      <c r="O979" s="26" t="s">
        <v>1036</v>
      </c>
    </row>
    <row r="980" spans="1:15" ht="15" x14ac:dyDescent="0.25">
      <c r="A980">
        <v>978</v>
      </c>
      <c r="B980" s="8" t="s">
        <v>839</v>
      </c>
      <c r="C980" s="21" t="s">
        <v>1711</v>
      </c>
      <c r="D980" s="22" t="s">
        <v>16</v>
      </c>
      <c r="E980" s="23">
        <v>1492</v>
      </c>
      <c r="F980" s="15">
        <v>1579</v>
      </c>
      <c r="G980" s="24" t="s">
        <v>6</v>
      </c>
      <c r="H980" s="18">
        <v>1</v>
      </c>
      <c r="I980" s="19"/>
      <c r="J980" s="19">
        <v>1515.84</v>
      </c>
      <c r="K980" s="19">
        <f t="shared" si="15"/>
        <v>23.839999999999918</v>
      </c>
      <c r="L980" s="18"/>
      <c r="M980" s="18"/>
      <c r="N980" s="18"/>
      <c r="O980" s="26" t="s">
        <v>1036</v>
      </c>
    </row>
    <row r="981" spans="1:15" ht="15" x14ac:dyDescent="0.25">
      <c r="A981">
        <v>979</v>
      </c>
      <c r="B981" s="7" t="s">
        <v>840</v>
      </c>
      <c r="C981" s="13" t="s">
        <v>1712</v>
      </c>
      <c r="D981" s="14" t="s">
        <v>16</v>
      </c>
      <c r="E981" s="15">
        <v>1783</v>
      </c>
      <c r="F981" s="16">
        <v>992</v>
      </c>
      <c r="G981" s="17" t="s">
        <v>6</v>
      </c>
      <c r="H981" s="18">
        <v>1</v>
      </c>
      <c r="I981" s="19">
        <f>VLOOKUP(B981,[1]Лист2!$A:$J,10,0)</f>
        <v>855.96500000000003</v>
      </c>
      <c r="J981" s="19">
        <v>952.31999999999994</v>
      </c>
      <c r="K981" s="19">
        <f t="shared" si="15"/>
        <v>-830.68000000000006</v>
      </c>
      <c r="L981" s="18"/>
      <c r="M981" s="18"/>
      <c r="N981" s="18"/>
      <c r="O981" s="26" t="s">
        <v>1036</v>
      </c>
    </row>
    <row r="982" spans="1:15" ht="15" x14ac:dyDescent="0.25">
      <c r="A982">
        <v>980</v>
      </c>
      <c r="B982" s="8" t="s">
        <v>841</v>
      </c>
      <c r="C982" s="21" t="s">
        <v>1713</v>
      </c>
      <c r="D982" s="22" t="s">
        <v>16</v>
      </c>
      <c r="E982" s="23">
        <v>20836</v>
      </c>
      <c r="F982" s="15">
        <v>25552</v>
      </c>
      <c r="G982" s="24" t="s">
        <v>6</v>
      </c>
      <c r="H982" s="18">
        <v>1</v>
      </c>
      <c r="I982" s="19"/>
      <c r="J982" s="19">
        <v>22530</v>
      </c>
      <c r="K982" s="19">
        <f t="shared" si="15"/>
        <v>1694</v>
      </c>
      <c r="L982" s="18"/>
      <c r="M982" s="18"/>
      <c r="N982" s="18"/>
      <c r="O982" s="26" t="s">
        <v>1036</v>
      </c>
    </row>
    <row r="983" spans="1:15" ht="15" x14ac:dyDescent="0.25">
      <c r="A983">
        <v>981</v>
      </c>
      <c r="B983" s="7" t="s">
        <v>842</v>
      </c>
      <c r="C983" s="13" t="s">
        <v>1213</v>
      </c>
      <c r="D983" s="14" t="s">
        <v>22</v>
      </c>
      <c r="E983" s="15">
        <v>5969</v>
      </c>
      <c r="F983" s="16">
        <v>3427</v>
      </c>
      <c r="G983" s="17" t="s">
        <v>6</v>
      </c>
      <c r="H983" s="18">
        <v>1</v>
      </c>
      <c r="I983" s="19">
        <f>VLOOKUP(B983,[1]Лист2!$A:$J,10,0)</f>
        <v>3502.66</v>
      </c>
      <c r="J983" s="29">
        <v>3537.6866</v>
      </c>
      <c r="K983" s="19">
        <f t="shared" si="15"/>
        <v>-2431.3134</v>
      </c>
      <c r="L983" s="18"/>
      <c r="M983" s="18"/>
      <c r="N983" s="18"/>
      <c r="O983" s="26" t="s">
        <v>1036</v>
      </c>
    </row>
    <row r="984" spans="1:15" ht="15" x14ac:dyDescent="0.25">
      <c r="A984">
        <v>982</v>
      </c>
      <c r="B984" s="8" t="s">
        <v>843</v>
      </c>
      <c r="C984" s="21" t="s">
        <v>1714</v>
      </c>
      <c r="D984" s="22" t="s">
        <v>66</v>
      </c>
      <c r="E984" s="15">
        <v>790</v>
      </c>
      <c r="F984" s="23">
        <v>401</v>
      </c>
      <c r="G984" s="24" t="s">
        <v>6</v>
      </c>
      <c r="H984" s="18">
        <v>1</v>
      </c>
      <c r="I984" s="19">
        <f>VLOOKUP(B984,[1]Лист2!$A:$J,10,0)</f>
        <v>391.04500000000002</v>
      </c>
      <c r="J984" s="29">
        <v>394.95545000000004</v>
      </c>
      <c r="K984" s="19">
        <f t="shared" si="15"/>
        <v>-395.04454999999996</v>
      </c>
      <c r="L984" s="18"/>
      <c r="M984" s="18"/>
      <c r="N984" s="18"/>
      <c r="O984" s="26" t="s">
        <v>1036</v>
      </c>
    </row>
    <row r="985" spans="1:15" ht="15" x14ac:dyDescent="0.25">
      <c r="A985">
        <v>983</v>
      </c>
      <c r="B985" s="7" t="s">
        <v>844</v>
      </c>
      <c r="C985" s="13" t="s">
        <v>1715</v>
      </c>
      <c r="D985" s="14" t="s">
        <v>165</v>
      </c>
      <c r="E985" s="16">
        <v>27461</v>
      </c>
      <c r="F985" s="15">
        <v>36601</v>
      </c>
      <c r="G985" s="17" t="s">
        <v>6</v>
      </c>
      <c r="H985" s="18">
        <v>1</v>
      </c>
      <c r="I985" s="19"/>
      <c r="J985" s="19">
        <v>30136.959999999999</v>
      </c>
      <c r="K985" s="19">
        <f t="shared" si="15"/>
        <v>2675.9599999999991</v>
      </c>
      <c r="L985" s="18"/>
      <c r="M985" s="18"/>
      <c r="N985" s="18"/>
      <c r="O985" s="26" t="s">
        <v>1036</v>
      </c>
    </row>
    <row r="986" spans="1:15" ht="15" x14ac:dyDescent="0.25">
      <c r="A986">
        <v>984</v>
      </c>
      <c r="B986" s="8" t="s">
        <v>845</v>
      </c>
      <c r="C986" s="21" t="s">
        <v>1716</v>
      </c>
      <c r="D986" s="22" t="s">
        <v>165</v>
      </c>
      <c r="E986" s="23">
        <v>23315</v>
      </c>
      <c r="F986" s="15">
        <v>31075</v>
      </c>
      <c r="G986" s="24" t="s">
        <v>6</v>
      </c>
      <c r="H986" s="18">
        <v>1</v>
      </c>
      <c r="I986" s="19"/>
      <c r="J986" s="19">
        <v>29832</v>
      </c>
      <c r="K986" s="19">
        <f t="shared" si="15"/>
        <v>6517</v>
      </c>
      <c r="L986" s="18"/>
      <c r="M986" s="18"/>
      <c r="N986" s="18"/>
      <c r="O986" s="26" t="s">
        <v>1036</v>
      </c>
    </row>
    <row r="987" spans="1:15" ht="15" x14ac:dyDescent="0.25">
      <c r="A987">
        <v>985</v>
      </c>
      <c r="B987" s="7" t="s">
        <v>846</v>
      </c>
      <c r="C987" s="13" t="s">
        <v>1250</v>
      </c>
      <c r="D987" s="14" t="s">
        <v>165</v>
      </c>
      <c r="E987" s="16">
        <v>93619</v>
      </c>
      <c r="F987" s="15">
        <v>124757</v>
      </c>
      <c r="G987" s="17" t="s">
        <v>6</v>
      </c>
      <c r="H987" s="18">
        <v>1</v>
      </c>
      <c r="I987" s="19">
        <f>VLOOKUP(B987,[1]Лист2!$A:$J,10,0)</f>
        <v>69579.414999999994</v>
      </c>
      <c r="J987" s="19">
        <v>106500</v>
      </c>
      <c r="K987" s="19">
        <f t="shared" si="15"/>
        <v>12881</v>
      </c>
      <c r="L987" s="18"/>
      <c r="M987" s="18"/>
      <c r="N987" s="18"/>
      <c r="O987" s="26" t="s">
        <v>1036</v>
      </c>
    </row>
    <row r="988" spans="1:15" ht="15" x14ac:dyDescent="0.25">
      <c r="A988">
        <v>986</v>
      </c>
      <c r="B988" s="8" t="s">
        <v>847</v>
      </c>
      <c r="C988" s="21" t="s">
        <v>1717</v>
      </c>
      <c r="D988" s="22" t="s">
        <v>165</v>
      </c>
      <c r="E988" s="23">
        <v>41058</v>
      </c>
      <c r="F988" s="15">
        <v>54718</v>
      </c>
      <c r="G988" s="24" t="s">
        <v>6</v>
      </c>
      <c r="H988" s="18">
        <v>1</v>
      </c>
      <c r="I988" s="19"/>
      <c r="J988" s="19">
        <v>47500</v>
      </c>
      <c r="K988" s="19">
        <f t="shared" si="15"/>
        <v>6442</v>
      </c>
      <c r="L988" s="18"/>
      <c r="M988" s="18"/>
      <c r="N988" s="18"/>
      <c r="O988" s="26" t="s">
        <v>1036</v>
      </c>
    </row>
    <row r="989" spans="1:15" ht="15" x14ac:dyDescent="0.25">
      <c r="A989">
        <v>987</v>
      </c>
      <c r="B989" s="7" t="s">
        <v>848</v>
      </c>
      <c r="C989" s="13" t="s">
        <v>1718</v>
      </c>
      <c r="D989" s="14" t="s">
        <v>165</v>
      </c>
      <c r="E989" s="16">
        <v>17957</v>
      </c>
      <c r="F989" s="15">
        <v>23937</v>
      </c>
      <c r="G989" s="17" t="s">
        <v>6</v>
      </c>
      <c r="H989" s="18">
        <v>1</v>
      </c>
      <c r="I989" s="19"/>
      <c r="J989" s="19">
        <v>19980</v>
      </c>
      <c r="K989" s="19">
        <f t="shared" si="15"/>
        <v>2023</v>
      </c>
      <c r="L989" s="18"/>
      <c r="M989" s="18"/>
      <c r="N989" s="18"/>
      <c r="O989" s="26" t="s">
        <v>1036</v>
      </c>
    </row>
    <row r="990" spans="1:15" ht="15" x14ac:dyDescent="0.25">
      <c r="A990">
        <v>988</v>
      </c>
      <c r="B990" s="8" t="s">
        <v>849</v>
      </c>
      <c r="C990" s="21" t="s">
        <v>1719</v>
      </c>
      <c r="D990" s="22" t="s">
        <v>24</v>
      </c>
      <c r="E990" s="15">
        <v>18088</v>
      </c>
      <c r="F990" s="23">
        <v>9808</v>
      </c>
      <c r="G990" s="24" t="s">
        <v>6</v>
      </c>
      <c r="H990" s="18">
        <v>1</v>
      </c>
      <c r="I990" s="19">
        <f>VLOOKUP(B990,[1]Лист2!$A:$J,10,0)</f>
        <v>10931.53</v>
      </c>
      <c r="J990" s="29">
        <v>11040.845300000001</v>
      </c>
      <c r="K990" s="19">
        <f t="shared" si="15"/>
        <v>-7047.1546999999991</v>
      </c>
      <c r="L990" s="18"/>
      <c r="M990" s="18"/>
      <c r="N990" s="18"/>
      <c r="O990" s="26" t="s">
        <v>1036</v>
      </c>
    </row>
    <row r="991" spans="1:15" ht="15" x14ac:dyDescent="0.25">
      <c r="A991">
        <v>989</v>
      </c>
      <c r="B991" s="7" t="s">
        <v>849</v>
      </c>
      <c r="C991" s="13" t="s">
        <v>1719</v>
      </c>
      <c r="D991" s="14" t="s">
        <v>24</v>
      </c>
      <c r="E991" s="15">
        <v>18088</v>
      </c>
      <c r="F991" s="16">
        <v>9808</v>
      </c>
      <c r="G991" s="17" t="s">
        <v>6</v>
      </c>
      <c r="H991" s="18">
        <v>1</v>
      </c>
      <c r="I991" s="19">
        <f>VLOOKUP(B991,[1]Лист2!$A:$J,10,0)</f>
        <v>10931.53</v>
      </c>
      <c r="J991" s="29">
        <v>11040.845300000001</v>
      </c>
      <c r="K991" s="19">
        <f t="shared" si="15"/>
        <v>-7047.1546999999991</v>
      </c>
      <c r="L991" s="18"/>
      <c r="M991" s="18"/>
      <c r="N991" s="18"/>
      <c r="O991" s="26" t="s">
        <v>1036</v>
      </c>
    </row>
    <row r="992" spans="1:15" ht="15" x14ac:dyDescent="0.25">
      <c r="A992">
        <v>990</v>
      </c>
      <c r="B992" s="8" t="s">
        <v>849</v>
      </c>
      <c r="C992" s="21" t="s">
        <v>1719</v>
      </c>
      <c r="D992" s="22" t="s">
        <v>24</v>
      </c>
      <c r="E992" s="15">
        <v>18088</v>
      </c>
      <c r="F992" s="23">
        <v>9808</v>
      </c>
      <c r="G992" s="24" t="s">
        <v>6</v>
      </c>
      <c r="H992" s="18">
        <v>1</v>
      </c>
      <c r="I992" s="19">
        <f>VLOOKUP(B992,[1]Лист2!$A:$J,10,0)</f>
        <v>10931.53</v>
      </c>
      <c r="J992" s="29">
        <v>11040.845300000001</v>
      </c>
      <c r="K992" s="19">
        <f t="shared" si="15"/>
        <v>-7047.1546999999991</v>
      </c>
      <c r="L992" s="18"/>
      <c r="M992" s="18"/>
      <c r="N992" s="18"/>
      <c r="O992" s="26" t="s">
        <v>1036</v>
      </c>
    </row>
    <row r="993" spans="1:15" ht="15" x14ac:dyDescent="0.25">
      <c r="A993">
        <v>991</v>
      </c>
      <c r="B993" s="7" t="s">
        <v>849</v>
      </c>
      <c r="C993" s="13" t="s">
        <v>1719</v>
      </c>
      <c r="D993" s="14" t="s">
        <v>24</v>
      </c>
      <c r="E993" s="15">
        <v>18088</v>
      </c>
      <c r="F993" s="16">
        <v>9808</v>
      </c>
      <c r="G993" s="17" t="s">
        <v>6</v>
      </c>
      <c r="H993" s="18">
        <v>1</v>
      </c>
      <c r="I993" s="19">
        <f>VLOOKUP(B993,[1]Лист2!$A:$J,10,0)</f>
        <v>10931.53</v>
      </c>
      <c r="J993" s="29">
        <v>11040.845300000001</v>
      </c>
      <c r="K993" s="19">
        <f t="shared" si="15"/>
        <v>-7047.1546999999991</v>
      </c>
      <c r="L993" s="18"/>
      <c r="M993" s="18"/>
      <c r="N993" s="18"/>
      <c r="O993" s="26" t="s">
        <v>1036</v>
      </c>
    </row>
    <row r="994" spans="1:15" ht="15" x14ac:dyDescent="0.25">
      <c r="A994">
        <v>992</v>
      </c>
      <c r="B994" s="8" t="s">
        <v>850</v>
      </c>
      <c r="C994" s="21" t="s">
        <v>1720</v>
      </c>
      <c r="D994" s="22" t="s">
        <v>66</v>
      </c>
      <c r="E994" s="23">
        <v>8664</v>
      </c>
      <c r="F994" s="15">
        <v>12754</v>
      </c>
      <c r="G994" s="24" t="s">
        <v>6</v>
      </c>
      <c r="H994" s="18">
        <v>1</v>
      </c>
      <c r="I994" s="19">
        <f>VLOOKUP(B994,[1]Лист2!$A:$J,10,0)</f>
        <v>2449.6950000000002</v>
      </c>
      <c r="J994" s="19">
        <v>9050</v>
      </c>
      <c r="K994" s="19">
        <f t="shared" si="15"/>
        <v>386</v>
      </c>
      <c r="L994" s="18"/>
      <c r="M994" s="18"/>
      <c r="N994" s="18"/>
      <c r="O994" s="26" t="s">
        <v>1036</v>
      </c>
    </row>
    <row r="995" spans="1:15" ht="15" x14ac:dyDescent="0.25">
      <c r="A995">
        <v>993</v>
      </c>
      <c r="B995" s="7" t="s">
        <v>851</v>
      </c>
      <c r="C995" s="13" t="s">
        <v>1721</v>
      </c>
      <c r="D995" s="14" t="s">
        <v>165</v>
      </c>
      <c r="E995" s="16">
        <v>3347</v>
      </c>
      <c r="F995" s="15">
        <v>4469</v>
      </c>
      <c r="G995" s="17" t="s">
        <v>6</v>
      </c>
      <c r="H995" s="18">
        <v>1</v>
      </c>
      <c r="I995" s="19"/>
      <c r="J995" s="19">
        <v>4290.24</v>
      </c>
      <c r="K995" s="19">
        <f t="shared" si="15"/>
        <v>943.23999999999978</v>
      </c>
      <c r="L995" s="18"/>
      <c r="M995" s="18"/>
      <c r="N995" s="18"/>
      <c r="O995" s="26" t="s">
        <v>1036</v>
      </c>
    </row>
    <row r="996" spans="1:15" ht="15" x14ac:dyDescent="0.25">
      <c r="A996">
        <v>994</v>
      </c>
      <c r="B996" s="8" t="s">
        <v>852</v>
      </c>
      <c r="C996" s="21" t="s">
        <v>1722</v>
      </c>
      <c r="D996" s="22" t="s">
        <v>165</v>
      </c>
      <c r="E996" s="23">
        <v>61684</v>
      </c>
      <c r="F996" s="15">
        <v>82203</v>
      </c>
      <c r="G996" s="24" t="s">
        <v>6</v>
      </c>
      <c r="H996" s="18">
        <v>1</v>
      </c>
      <c r="I996" s="19"/>
      <c r="J996" s="19">
        <v>72914.880000000005</v>
      </c>
      <c r="K996" s="19">
        <f t="shared" si="15"/>
        <v>11230.880000000005</v>
      </c>
      <c r="L996" s="18"/>
      <c r="M996" s="18"/>
      <c r="N996" s="18"/>
      <c r="O996" s="26" t="s">
        <v>1036</v>
      </c>
    </row>
    <row r="997" spans="1:15" ht="15" x14ac:dyDescent="0.25">
      <c r="A997">
        <v>995</v>
      </c>
      <c r="B997" s="7" t="s">
        <v>853</v>
      </c>
      <c r="C997" s="13" t="s">
        <v>1723</v>
      </c>
      <c r="D997" s="14" t="s">
        <v>165</v>
      </c>
      <c r="E997" s="16">
        <v>1737</v>
      </c>
      <c r="F997" s="15">
        <v>2323</v>
      </c>
      <c r="G997" s="17" t="s">
        <v>6</v>
      </c>
      <c r="H997" s="18">
        <v>1</v>
      </c>
      <c r="I997" s="19"/>
      <c r="J997" s="19">
        <v>2230.08</v>
      </c>
      <c r="K997" s="19">
        <f t="shared" si="15"/>
        <v>493.07999999999993</v>
      </c>
      <c r="L997" s="18"/>
      <c r="M997" s="18"/>
      <c r="N997" s="18"/>
      <c r="O997" s="26" t="s">
        <v>1036</v>
      </c>
    </row>
    <row r="998" spans="1:15" ht="15" x14ac:dyDescent="0.25">
      <c r="A998">
        <v>996</v>
      </c>
      <c r="B998" s="8" t="s">
        <v>854</v>
      </c>
      <c r="C998" s="21" t="s">
        <v>1045</v>
      </c>
      <c r="D998" s="22" t="s">
        <v>165</v>
      </c>
      <c r="E998" s="23">
        <v>59006</v>
      </c>
      <c r="F998" s="15">
        <v>78635</v>
      </c>
      <c r="G998" s="24" t="s">
        <v>6</v>
      </c>
      <c r="H998" s="18">
        <v>1</v>
      </c>
      <c r="I998" s="19"/>
      <c r="J998" s="19">
        <v>72489.600000000006</v>
      </c>
      <c r="K998" s="19">
        <f t="shared" si="15"/>
        <v>13483.600000000006</v>
      </c>
      <c r="L998" s="18"/>
      <c r="M998" s="18"/>
      <c r="N998" s="18"/>
      <c r="O998" s="26" t="s">
        <v>1036</v>
      </c>
    </row>
    <row r="999" spans="1:15" ht="15" x14ac:dyDescent="0.25">
      <c r="A999">
        <v>997</v>
      </c>
      <c r="B999" s="7" t="s">
        <v>855</v>
      </c>
      <c r="C999" s="13" t="s">
        <v>1724</v>
      </c>
      <c r="D999" s="14" t="s">
        <v>24</v>
      </c>
      <c r="E999" s="15">
        <v>4001</v>
      </c>
      <c r="F999" s="16">
        <v>417</v>
      </c>
      <c r="G999" s="17" t="s">
        <v>6</v>
      </c>
      <c r="H999" s="18">
        <v>1</v>
      </c>
      <c r="I999" s="19">
        <f>VLOOKUP(B999,[1]Лист2!$A:$J,10,0)</f>
        <v>569.33000000000004</v>
      </c>
      <c r="J999" s="29">
        <v>2150</v>
      </c>
      <c r="K999" s="19">
        <f t="shared" si="15"/>
        <v>-1851</v>
      </c>
      <c r="L999" s="18"/>
      <c r="M999" s="18"/>
      <c r="N999" s="18"/>
      <c r="O999" s="26" t="s">
        <v>1036</v>
      </c>
    </row>
    <row r="1000" spans="1:15" ht="15" x14ac:dyDescent="0.25">
      <c r="A1000">
        <v>998</v>
      </c>
      <c r="B1000" s="8" t="s">
        <v>856</v>
      </c>
      <c r="C1000" s="21" t="s">
        <v>1725</v>
      </c>
      <c r="D1000" s="22" t="s">
        <v>24</v>
      </c>
      <c r="E1000" s="15">
        <v>2360</v>
      </c>
      <c r="F1000" s="23">
        <v>2135</v>
      </c>
      <c r="G1000" s="24" t="s">
        <v>6</v>
      </c>
      <c r="H1000" s="18">
        <v>1</v>
      </c>
      <c r="I1000" s="19"/>
      <c r="J1000" s="19">
        <v>2383.6</v>
      </c>
      <c r="K1000" s="19">
        <f t="shared" si="15"/>
        <v>23.599999999999909</v>
      </c>
      <c r="L1000" s="18"/>
      <c r="M1000" s="18"/>
      <c r="N1000" s="18"/>
      <c r="O1000" s="26" t="s">
        <v>1036</v>
      </c>
    </row>
    <row r="1001" spans="1:15" ht="15" x14ac:dyDescent="0.25">
      <c r="A1001">
        <v>999</v>
      </c>
      <c r="B1001" s="7" t="s">
        <v>857</v>
      </c>
      <c r="C1001" s="13" t="s">
        <v>1726</v>
      </c>
      <c r="D1001" s="14" t="s">
        <v>165</v>
      </c>
      <c r="E1001" s="16">
        <v>12292</v>
      </c>
      <c r="F1001" s="15">
        <v>16388</v>
      </c>
      <c r="G1001" s="17" t="s">
        <v>6</v>
      </c>
      <c r="H1001" s="18">
        <v>1</v>
      </c>
      <c r="I1001" s="19"/>
      <c r="J1001" s="19">
        <v>13489</v>
      </c>
      <c r="K1001" s="19">
        <f t="shared" si="15"/>
        <v>1197</v>
      </c>
      <c r="L1001" s="18"/>
      <c r="M1001" s="18"/>
      <c r="N1001" s="18"/>
      <c r="O1001" s="26" t="s">
        <v>1036</v>
      </c>
    </row>
    <row r="1002" spans="1:15" ht="15" x14ac:dyDescent="0.25">
      <c r="A1002">
        <v>1000</v>
      </c>
      <c r="B1002" s="8" t="s">
        <v>858</v>
      </c>
      <c r="C1002" s="21" t="s">
        <v>1727</v>
      </c>
      <c r="D1002" s="22" t="s">
        <v>307</v>
      </c>
      <c r="E1002" s="15">
        <v>22159</v>
      </c>
      <c r="F1002" s="23">
        <v>5103</v>
      </c>
      <c r="G1002" s="24" t="s">
        <v>6</v>
      </c>
      <c r="H1002" s="18">
        <v>1</v>
      </c>
      <c r="I1002" s="19">
        <f>VLOOKUP(B1002,[1]Лист2!$A:$J,10,0)</f>
        <v>17327.134999999998</v>
      </c>
      <c r="J1002" s="29">
        <v>17500.406349999997</v>
      </c>
      <c r="K1002" s="19">
        <f t="shared" si="15"/>
        <v>-4658.5936500000025</v>
      </c>
      <c r="L1002" s="18"/>
      <c r="M1002" s="18"/>
      <c r="N1002" s="18"/>
      <c r="O1002" s="26" t="s">
        <v>1036</v>
      </c>
    </row>
    <row r="1003" spans="1:15" ht="15" x14ac:dyDescent="0.25">
      <c r="A1003">
        <v>1001</v>
      </c>
      <c r="B1003" s="7" t="s">
        <v>859</v>
      </c>
      <c r="C1003" s="13" t="s">
        <v>1728</v>
      </c>
      <c r="D1003" s="14" t="s">
        <v>309</v>
      </c>
      <c r="E1003" s="16">
        <v>31534</v>
      </c>
      <c r="F1003" s="15">
        <v>33790</v>
      </c>
      <c r="G1003" s="17" t="s">
        <v>6</v>
      </c>
      <c r="H1003" s="18">
        <v>1</v>
      </c>
      <c r="I1003" s="19"/>
      <c r="J1003" s="19">
        <v>32438.399999999998</v>
      </c>
      <c r="K1003" s="19">
        <f t="shared" si="15"/>
        <v>904.39999999999782</v>
      </c>
      <c r="L1003" s="18"/>
      <c r="M1003" s="18"/>
      <c r="N1003" s="18"/>
      <c r="O1003" s="26" t="s">
        <v>1036</v>
      </c>
    </row>
    <row r="1004" spans="1:15" ht="15" x14ac:dyDescent="0.25">
      <c r="A1004">
        <v>1002</v>
      </c>
      <c r="B1004" s="8" t="s">
        <v>860</v>
      </c>
      <c r="C1004" s="21" t="s">
        <v>1729</v>
      </c>
      <c r="D1004" s="22" t="s">
        <v>861</v>
      </c>
      <c r="E1004" s="23">
        <v>9477</v>
      </c>
      <c r="F1004" s="15">
        <v>11627</v>
      </c>
      <c r="G1004" s="24" t="s">
        <v>6</v>
      </c>
      <c r="H1004" s="18">
        <v>1</v>
      </c>
      <c r="I1004" s="19"/>
      <c r="J1004" s="19">
        <v>11161.92</v>
      </c>
      <c r="K1004" s="19">
        <f t="shared" si="15"/>
        <v>1684.92</v>
      </c>
      <c r="L1004" s="18"/>
      <c r="M1004" s="18"/>
      <c r="N1004" s="18"/>
      <c r="O1004" s="26" t="s">
        <v>1036</v>
      </c>
    </row>
    <row r="1005" spans="1:15" ht="15" x14ac:dyDescent="0.25">
      <c r="A1005">
        <v>1003</v>
      </c>
      <c r="B1005" s="7" t="s">
        <v>862</v>
      </c>
      <c r="C1005" s="13" t="s">
        <v>1730</v>
      </c>
      <c r="D1005" s="14" t="s">
        <v>309</v>
      </c>
      <c r="E1005" s="16">
        <v>13166</v>
      </c>
      <c r="F1005" s="15">
        <v>16149</v>
      </c>
      <c r="G1005" s="17" t="s">
        <v>6</v>
      </c>
      <c r="H1005" s="18">
        <v>1</v>
      </c>
      <c r="I1005" s="19"/>
      <c r="J1005" s="19">
        <v>15503.039999999999</v>
      </c>
      <c r="K1005" s="19">
        <f t="shared" si="15"/>
        <v>2337.0399999999991</v>
      </c>
      <c r="L1005" s="18"/>
      <c r="M1005" s="18"/>
      <c r="N1005" s="18"/>
      <c r="O1005" s="26" t="s">
        <v>1036</v>
      </c>
    </row>
    <row r="1006" spans="1:15" ht="15" x14ac:dyDescent="0.25">
      <c r="A1006">
        <v>1004</v>
      </c>
      <c r="B1006" s="8" t="s">
        <v>863</v>
      </c>
      <c r="C1006" s="21" t="s">
        <v>1731</v>
      </c>
      <c r="D1006" s="22" t="s">
        <v>309</v>
      </c>
      <c r="E1006" s="23">
        <v>3320</v>
      </c>
      <c r="F1006" s="15">
        <v>4079</v>
      </c>
      <c r="G1006" s="24" t="s">
        <v>6</v>
      </c>
      <c r="H1006" s="18">
        <v>1</v>
      </c>
      <c r="I1006" s="19"/>
      <c r="J1006" s="19">
        <v>3915.8399999999997</v>
      </c>
      <c r="K1006" s="19">
        <f t="shared" si="15"/>
        <v>595.83999999999969</v>
      </c>
      <c r="L1006" s="18"/>
      <c r="M1006" s="18"/>
      <c r="N1006" s="18"/>
      <c r="O1006" s="26" t="s">
        <v>1036</v>
      </c>
    </row>
    <row r="1007" spans="1:15" ht="15" x14ac:dyDescent="0.25">
      <c r="A1007">
        <v>1005</v>
      </c>
      <c r="B1007" s="7" t="s">
        <v>864</v>
      </c>
      <c r="C1007" s="13" t="s">
        <v>1732</v>
      </c>
      <c r="D1007" s="14" t="s">
        <v>861</v>
      </c>
      <c r="E1007" s="16">
        <v>7784</v>
      </c>
      <c r="F1007" s="15">
        <v>9551</v>
      </c>
      <c r="G1007" s="17" t="s">
        <v>6</v>
      </c>
      <c r="H1007" s="18">
        <v>1</v>
      </c>
      <c r="I1007" s="19"/>
      <c r="J1007" s="19">
        <v>9168.9599999999991</v>
      </c>
      <c r="K1007" s="19">
        <f t="shared" si="15"/>
        <v>1384.9599999999991</v>
      </c>
      <c r="L1007" s="18"/>
      <c r="M1007" s="18"/>
      <c r="N1007" s="18"/>
      <c r="O1007" s="26" t="s">
        <v>1036</v>
      </c>
    </row>
    <row r="1008" spans="1:15" ht="15" x14ac:dyDescent="0.25">
      <c r="A1008">
        <v>1006</v>
      </c>
      <c r="B1008" s="8" t="s">
        <v>865</v>
      </c>
      <c r="C1008" s="21" t="s">
        <v>1733</v>
      </c>
      <c r="D1008" s="22" t="s">
        <v>861</v>
      </c>
      <c r="E1008" s="23">
        <v>6064</v>
      </c>
      <c r="F1008" s="15">
        <v>7443</v>
      </c>
      <c r="G1008" s="24" t="s">
        <v>6</v>
      </c>
      <c r="H1008" s="18">
        <v>1</v>
      </c>
      <c r="I1008" s="19"/>
      <c r="J1008" s="19">
        <v>7145.28</v>
      </c>
      <c r="K1008" s="19">
        <f t="shared" si="15"/>
        <v>1081.2799999999997</v>
      </c>
      <c r="L1008" s="18"/>
      <c r="M1008" s="18"/>
      <c r="N1008" s="18"/>
      <c r="O1008" s="26" t="s">
        <v>1036</v>
      </c>
    </row>
    <row r="1009" spans="1:15" ht="15" x14ac:dyDescent="0.25">
      <c r="A1009">
        <v>1007</v>
      </c>
      <c r="B1009" s="7" t="s">
        <v>866</v>
      </c>
      <c r="C1009" s="13" t="s">
        <v>1732</v>
      </c>
      <c r="D1009" s="14" t="s">
        <v>309</v>
      </c>
      <c r="E1009" s="16">
        <v>5833</v>
      </c>
      <c r="F1009" s="15">
        <v>6342</v>
      </c>
      <c r="G1009" s="17" t="s">
        <v>6</v>
      </c>
      <c r="H1009" s="18">
        <v>1</v>
      </c>
      <c r="I1009" s="19"/>
      <c r="J1009" s="19">
        <v>6088.32</v>
      </c>
      <c r="K1009" s="19">
        <f t="shared" si="15"/>
        <v>255.31999999999971</v>
      </c>
      <c r="L1009" s="18"/>
      <c r="M1009" s="18"/>
      <c r="N1009" s="18"/>
      <c r="O1009" s="26" t="s">
        <v>1036</v>
      </c>
    </row>
    <row r="1010" spans="1:15" ht="15" x14ac:dyDescent="0.25">
      <c r="A1010">
        <v>1008</v>
      </c>
      <c r="B1010" s="8" t="s">
        <v>867</v>
      </c>
      <c r="C1010" s="21" t="s">
        <v>1516</v>
      </c>
      <c r="D1010" s="22" t="s">
        <v>397</v>
      </c>
      <c r="E1010" s="15">
        <v>1200</v>
      </c>
      <c r="F1010" s="23">
        <v>484.7</v>
      </c>
      <c r="G1010" s="24" t="s">
        <v>71</v>
      </c>
      <c r="H1010" s="18">
        <v>1</v>
      </c>
      <c r="I1010" s="19">
        <f>VLOOKUP(B1010,[1]Лист2!$A:$J,10,0)</f>
        <v>495.45499999999998</v>
      </c>
      <c r="J1010" s="29">
        <v>500.40954999999997</v>
      </c>
      <c r="K1010" s="19">
        <f t="shared" si="15"/>
        <v>-699.59045000000003</v>
      </c>
      <c r="L1010" s="18"/>
      <c r="M1010" s="18"/>
      <c r="N1010" s="18"/>
      <c r="O1010" s="26" t="s">
        <v>1036</v>
      </c>
    </row>
    <row r="1011" spans="1:15" ht="15" x14ac:dyDescent="0.25">
      <c r="A1011">
        <v>1009</v>
      </c>
      <c r="B1011" s="7" t="s">
        <v>868</v>
      </c>
      <c r="C1011" s="13" t="s">
        <v>1734</v>
      </c>
      <c r="D1011" s="14" t="s">
        <v>397</v>
      </c>
      <c r="E1011" s="15">
        <v>34902</v>
      </c>
      <c r="F1011" s="16">
        <v>4317</v>
      </c>
      <c r="G1011" s="17" t="s">
        <v>6</v>
      </c>
      <c r="H1011" s="18">
        <v>1</v>
      </c>
      <c r="I1011" s="19">
        <f>VLOOKUP(B1011,[1]Лист2!$A:$J,10,0)</f>
        <v>19027.244999999999</v>
      </c>
      <c r="J1011" s="29">
        <v>19217.517449999999</v>
      </c>
      <c r="K1011" s="19">
        <f t="shared" si="15"/>
        <v>-15684.482550000001</v>
      </c>
      <c r="L1011" s="18"/>
      <c r="M1011" s="18"/>
      <c r="N1011" s="18"/>
      <c r="O1011" s="26" t="s">
        <v>1036</v>
      </c>
    </row>
    <row r="1012" spans="1:15" ht="15" x14ac:dyDescent="0.25">
      <c r="A1012">
        <v>1010</v>
      </c>
      <c r="B1012" s="8" t="s">
        <v>869</v>
      </c>
      <c r="C1012" s="21" t="s">
        <v>1735</v>
      </c>
      <c r="D1012" s="22" t="s">
        <v>397</v>
      </c>
      <c r="E1012" s="15">
        <v>2773</v>
      </c>
      <c r="F1012" s="23">
        <v>1611</v>
      </c>
      <c r="G1012" s="24" t="s">
        <v>6</v>
      </c>
      <c r="H1012" s="18">
        <v>1</v>
      </c>
      <c r="I1012" s="19">
        <f>VLOOKUP(B1012,[1]Лист2!$A:$J,10,0)</f>
        <v>1934.54</v>
      </c>
      <c r="J1012" s="29">
        <v>1953.8853999999999</v>
      </c>
      <c r="K1012" s="19">
        <f t="shared" si="15"/>
        <v>-819.11460000000011</v>
      </c>
      <c r="L1012" s="18"/>
      <c r="M1012" s="18"/>
      <c r="N1012" s="18"/>
      <c r="O1012" s="26" t="s">
        <v>1036</v>
      </c>
    </row>
    <row r="1013" spans="1:15" ht="15" x14ac:dyDescent="0.25">
      <c r="A1013">
        <v>1011</v>
      </c>
      <c r="B1013" s="7" t="s">
        <v>870</v>
      </c>
      <c r="C1013" s="13" t="s">
        <v>1736</v>
      </c>
      <c r="D1013" s="14" t="s">
        <v>397</v>
      </c>
      <c r="E1013" s="15">
        <v>17823</v>
      </c>
      <c r="F1013" s="16">
        <v>6064</v>
      </c>
      <c r="G1013" s="17" t="s">
        <v>6</v>
      </c>
      <c r="H1013" s="18">
        <v>1</v>
      </c>
      <c r="I1013" s="19">
        <f>VLOOKUP(B1013,[1]Лист2!$A:$J,10,0)</f>
        <v>9771.2000000000007</v>
      </c>
      <c r="J1013" s="29">
        <v>9868.9120000000003</v>
      </c>
      <c r="K1013" s="19">
        <f t="shared" si="15"/>
        <v>-7954.0879999999997</v>
      </c>
      <c r="L1013" s="18"/>
      <c r="M1013" s="18"/>
      <c r="N1013" s="18"/>
      <c r="O1013" s="26" t="s">
        <v>1036</v>
      </c>
    </row>
    <row r="1014" spans="1:15" ht="15" x14ac:dyDescent="0.25">
      <c r="A1014">
        <v>1012</v>
      </c>
      <c r="B1014" s="8" t="s">
        <v>871</v>
      </c>
      <c r="C1014" s="21" t="s">
        <v>1737</v>
      </c>
      <c r="D1014" s="22" t="s">
        <v>397</v>
      </c>
      <c r="E1014" s="15">
        <v>4158</v>
      </c>
      <c r="F1014" s="23">
        <v>1932</v>
      </c>
      <c r="G1014" s="24" t="s">
        <v>6</v>
      </c>
      <c r="H1014" s="18">
        <v>1</v>
      </c>
      <c r="I1014" s="19">
        <f>VLOOKUP(B1014,[1]Лист2!$A:$J,10,0)</f>
        <v>2976.67</v>
      </c>
      <c r="J1014" s="29">
        <v>3006.4367000000002</v>
      </c>
      <c r="K1014" s="19">
        <f t="shared" si="15"/>
        <v>-1151.5632999999998</v>
      </c>
      <c r="L1014" s="18"/>
      <c r="M1014" s="18"/>
      <c r="N1014" s="18"/>
      <c r="O1014" s="26" t="s">
        <v>1036</v>
      </c>
    </row>
    <row r="1015" spans="1:15" ht="15" x14ac:dyDescent="0.25">
      <c r="A1015">
        <v>1013</v>
      </c>
      <c r="B1015" s="7" t="s">
        <v>872</v>
      </c>
      <c r="C1015" s="13" t="s">
        <v>1738</v>
      </c>
      <c r="D1015" s="14" t="s">
        <v>397</v>
      </c>
      <c r="E1015" s="15">
        <v>2310</v>
      </c>
      <c r="F1015" s="16">
        <v>1077</v>
      </c>
      <c r="G1015" s="17" t="s">
        <v>6</v>
      </c>
      <c r="H1015" s="18">
        <v>1</v>
      </c>
      <c r="I1015" s="19"/>
      <c r="J1015" s="19">
        <v>2333.1</v>
      </c>
      <c r="K1015" s="19">
        <f t="shared" si="15"/>
        <v>23.099999999999909</v>
      </c>
      <c r="L1015" s="18"/>
      <c r="M1015" s="18"/>
      <c r="N1015" s="18"/>
      <c r="O1015" s="26" t="s">
        <v>1036</v>
      </c>
    </row>
    <row r="1016" spans="1:15" ht="15" x14ac:dyDescent="0.25">
      <c r="A1016">
        <v>1014</v>
      </c>
      <c r="B1016" s="8" t="s">
        <v>873</v>
      </c>
      <c r="C1016" s="21" t="s">
        <v>1739</v>
      </c>
      <c r="D1016" s="22" t="s">
        <v>397</v>
      </c>
      <c r="E1016" s="15">
        <v>2310</v>
      </c>
      <c r="F1016" s="23">
        <v>1077</v>
      </c>
      <c r="G1016" s="24" t="s">
        <v>6</v>
      </c>
      <c r="H1016" s="18">
        <v>1</v>
      </c>
      <c r="I1016" s="19"/>
      <c r="J1016" s="19">
        <v>2333.1</v>
      </c>
      <c r="K1016" s="19">
        <f t="shared" si="15"/>
        <v>23.099999999999909</v>
      </c>
      <c r="L1016" s="18"/>
      <c r="M1016" s="18"/>
      <c r="N1016" s="18"/>
      <c r="O1016" s="26" t="s">
        <v>1036</v>
      </c>
    </row>
    <row r="1017" spans="1:15" ht="15" x14ac:dyDescent="0.25">
      <c r="A1017">
        <v>1015</v>
      </c>
      <c r="B1017" s="7" t="s">
        <v>874</v>
      </c>
      <c r="C1017" s="13" t="s">
        <v>1740</v>
      </c>
      <c r="D1017" s="14" t="s">
        <v>64</v>
      </c>
      <c r="E1017" s="16">
        <v>4202</v>
      </c>
      <c r="F1017" s="15">
        <v>5160</v>
      </c>
      <c r="G1017" s="17" t="s">
        <v>6</v>
      </c>
      <c r="H1017" s="18">
        <v>1</v>
      </c>
      <c r="I1017" s="19"/>
      <c r="J1017" s="19">
        <v>4953.5999999999995</v>
      </c>
      <c r="K1017" s="19">
        <f t="shared" si="15"/>
        <v>751.59999999999945</v>
      </c>
      <c r="L1017" s="18"/>
      <c r="M1017" s="18"/>
      <c r="N1017" s="18"/>
      <c r="O1017" s="26" t="s">
        <v>1036</v>
      </c>
    </row>
    <row r="1018" spans="1:15" ht="15" x14ac:dyDescent="0.25">
      <c r="A1018">
        <v>1016</v>
      </c>
      <c r="B1018" s="8" t="s">
        <v>875</v>
      </c>
      <c r="C1018" s="21" t="s">
        <v>1741</v>
      </c>
      <c r="D1018" s="22" t="s">
        <v>64</v>
      </c>
      <c r="E1018" s="23">
        <v>9954</v>
      </c>
      <c r="F1018" s="15">
        <v>12211</v>
      </c>
      <c r="G1018" s="24" t="s">
        <v>6</v>
      </c>
      <c r="H1018" s="18">
        <v>1</v>
      </c>
      <c r="I1018" s="19"/>
      <c r="J1018" s="19">
        <v>11722.56</v>
      </c>
      <c r="K1018" s="19">
        <f t="shared" si="15"/>
        <v>1768.5599999999995</v>
      </c>
      <c r="L1018" s="18"/>
      <c r="M1018" s="18"/>
      <c r="N1018" s="18"/>
      <c r="O1018" s="26" t="s">
        <v>1036</v>
      </c>
    </row>
    <row r="1019" spans="1:15" ht="15" x14ac:dyDescent="0.25">
      <c r="A1019">
        <v>1017</v>
      </c>
      <c r="B1019" s="7" t="s">
        <v>876</v>
      </c>
      <c r="C1019" s="13" t="s">
        <v>1742</v>
      </c>
      <c r="D1019" s="14" t="s">
        <v>64</v>
      </c>
      <c r="E1019" s="15">
        <v>7820</v>
      </c>
      <c r="F1019" s="16">
        <v>1347</v>
      </c>
      <c r="G1019" s="17" t="s">
        <v>6</v>
      </c>
      <c r="H1019" s="18">
        <v>1</v>
      </c>
      <c r="I1019" s="19">
        <f>VLOOKUP(B1019,[1]Лист2!$A:$J,10,0)</f>
        <v>1356.345</v>
      </c>
      <c r="J1019" s="29">
        <v>1369.9084500000001</v>
      </c>
      <c r="K1019" s="19">
        <f t="shared" si="15"/>
        <v>-6450.0915500000001</v>
      </c>
      <c r="L1019" s="18"/>
      <c r="M1019" s="18"/>
      <c r="N1019" s="18"/>
      <c r="O1019" s="26" t="s">
        <v>1036</v>
      </c>
    </row>
    <row r="1020" spans="1:15" ht="15" x14ac:dyDescent="0.25">
      <c r="A1020">
        <v>1018</v>
      </c>
      <c r="B1020" s="8" t="s">
        <v>877</v>
      </c>
      <c r="C1020" s="21" t="s">
        <v>1743</v>
      </c>
      <c r="D1020" s="22" t="s">
        <v>64</v>
      </c>
      <c r="E1020" s="15">
        <v>3398</v>
      </c>
      <c r="F1020" s="23">
        <v>2043</v>
      </c>
      <c r="G1020" s="24" t="s">
        <v>6</v>
      </c>
      <c r="H1020" s="18">
        <v>1</v>
      </c>
      <c r="I1020" s="19">
        <f>VLOOKUP(B1020,[1]Лист2!$A:$J,10,0)</f>
        <v>2061.605</v>
      </c>
      <c r="J1020" s="29">
        <v>2082.2210500000001</v>
      </c>
      <c r="K1020" s="19">
        <f t="shared" si="15"/>
        <v>-1315.7789499999999</v>
      </c>
      <c r="L1020" s="18"/>
      <c r="M1020" s="18"/>
      <c r="N1020" s="18"/>
      <c r="O1020" s="26" t="s">
        <v>1036</v>
      </c>
    </row>
    <row r="1021" spans="1:15" ht="15" x14ac:dyDescent="0.25">
      <c r="A1021">
        <v>1019</v>
      </c>
      <c r="B1021" s="7" t="s">
        <v>878</v>
      </c>
      <c r="C1021" s="13" t="s">
        <v>1744</v>
      </c>
      <c r="D1021" s="14" t="s">
        <v>48</v>
      </c>
      <c r="E1021" s="16">
        <v>48843</v>
      </c>
      <c r="F1021" s="15">
        <v>71340</v>
      </c>
      <c r="G1021" s="17" t="s">
        <v>6</v>
      </c>
      <c r="H1021" s="18">
        <v>1</v>
      </c>
      <c r="I1021" s="19"/>
      <c r="J1021" s="19">
        <v>55300</v>
      </c>
      <c r="K1021" s="19">
        <f t="shared" si="15"/>
        <v>6457</v>
      </c>
      <c r="L1021" s="18"/>
      <c r="M1021" s="18"/>
      <c r="N1021" s="18"/>
      <c r="O1021" s="26" t="s">
        <v>1036</v>
      </c>
    </row>
    <row r="1022" spans="1:15" ht="15" x14ac:dyDescent="0.25">
      <c r="A1022">
        <v>1020</v>
      </c>
      <c r="B1022" s="8" t="s">
        <v>879</v>
      </c>
      <c r="C1022" s="21" t="s">
        <v>1745</v>
      </c>
      <c r="D1022" s="22" t="s">
        <v>880</v>
      </c>
      <c r="E1022" s="15">
        <v>1582</v>
      </c>
      <c r="F1022" s="23">
        <v>810</v>
      </c>
      <c r="G1022" s="24" t="s">
        <v>6</v>
      </c>
      <c r="H1022" s="18">
        <v>1</v>
      </c>
      <c r="I1022" s="19">
        <f>VLOOKUP(B1022,[1]Лист2!$A:$J,10,0)</f>
        <v>680.63499999999999</v>
      </c>
      <c r="J1022" s="19">
        <v>777.6</v>
      </c>
      <c r="K1022" s="19">
        <f t="shared" si="15"/>
        <v>-804.4</v>
      </c>
      <c r="L1022" s="18"/>
      <c r="M1022" s="18"/>
      <c r="N1022" s="18"/>
      <c r="O1022" s="26" t="s">
        <v>1036</v>
      </c>
    </row>
    <row r="1023" spans="1:15" ht="15" x14ac:dyDescent="0.25">
      <c r="A1023">
        <v>1021</v>
      </c>
      <c r="B1023" s="7" t="s">
        <v>881</v>
      </c>
      <c r="C1023" s="13" t="s">
        <v>1746</v>
      </c>
      <c r="D1023" s="14" t="s">
        <v>48</v>
      </c>
      <c r="E1023" s="16">
        <v>1013</v>
      </c>
      <c r="F1023" s="15">
        <v>1374</v>
      </c>
      <c r="G1023" s="17" t="s">
        <v>6</v>
      </c>
      <c r="H1023" s="18">
        <v>1</v>
      </c>
      <c r="I1023" s="19"/>
      <c r="J1023" s="19">
        <v>1319.04</v>
      </c>
      <c r="K1023" s="19">
        <f t="shared" si="15"/>
        <v>306.03999999999996</v>
      </c>
      <c r="L1023" s="18"/>
      <c r="M1023" s="18"/>
      <c r="N1023" s="18"/>
      <c r="O1023" s="26" t="s">
        <v>1036</v>
      </c>
    </row>
    <row r="1024" spans="1:15" ht="15" x14ac:dyDescent="0.25">
      <c r="A1024">
        <v>1022</v>
      </c>
      <c r="B1024" s="8" t="s">
        <v>882</v>
      </c>
      <c r="C1024" s="21" t="s">
        <v>1747</v>
      </c>
      <c r="D1024" s="22" t="s">
        <v>48</v>
      </c>
      <c r="E1024" s="15">
        <v>38163</v>
      </c>
      <c r="F1024" s="23">
        <v>35770.99</v>
      </c>
      <c r="G1024" s="24" t="s">
        <v>11</v>
      </c>
      <c r="H1024" s="18">
        <v>2</v>
      </c>
      <c r="I1024" s="19">
        <f>VLOOKUP(B1024,[1]Лист2!$A:$J,10,0)</f>
        <v>32829.065000000002</v>
      </c>
      <c r="J1024" s="19">
        <v>34340.150399999999</v>
      </c>
      <c r="K1024" s="19">
        <f t="shared" si="15"/>
        <v>-3822.8496000000014</v>
      </c>
      <c r="L1024" s="18"/>
      <c r="M1024" s="18"/>
      <c r="N1024" s="18"/>
      <c r="O1024" s="26" t="s">
        <v>1036</v>
      </c>
    </row>
    <row r="1025" spans="1:15" ht="15" x14ac:dyDescent="0.25">
      <c r="A1025">
        <v>1023</v>
      </c>
      <c r="B1025" s="7" t="s">
        <v>883</v>
      </c>
      <c r="C1025" s="13" t="s">
        <v>1748</v>
      </c>
      <c r="D1025" s="14" t="s">
        <v>48</v>
      </c>
      <c r="E1025" s="15">
        <v>21573</v>
      </c>
      <c r="F1025" s="16">
        <v>19602</v>
      </c>
      <c r="G1025" s="17" t="s">
        <v>6</v>
      </c>
      <c r="H1025" s="18">
        <v>1</v>
      </c>
      <c r="I1025" s="19">
        <f>VLOOKUP(B1025,[1]Лист2!$A:$J,10,0)</f>
        <v>12949.795</v>
      </c>
      <c r="J1025" s="19">
        <v>18817.919999999998</v>
      </c>
      <c r="K1025" s="19">
        <f t="shared" si="15"/>
        <v>-2755.0800000000017</v>
      </c>
      <c r="L1025" s="18"/>
      <c r="M1025" s="18"/>
      <c r="N1025" s="18"/>
      <c r="O1025" s="26" t="s">
        <v>1036</v>
      </c>
    </row>
    <row r="1026" spans="1:15" ht="15" x14ac:dyDescent="0.25">
      <c r="A1026">
        <v>1024</v>
      </c>
      <c r="B1026" s="8" t="s">
        <v>884</v>
      </c>
      <c r="C1026" s="21" t="s">
        <v>1749</v>
      </c>
      <c r="D1026" s="22" t="s">
        <v>48</v>
      </c>
      <c r="E1026" s="15">
        <v>24844</v>
      </c>
      <c r="F1026" s="23">
        <v>22258</v>
      </c>
      <c r="G1026" s="24" t="s">
        <v>6</v>
      </c>
      <c r="H1026" s="18">
        <v>1</v>
      </c>
      <c r="I1026" s="19"/>
      <c r="J1026" s="19">
        <v>25092.44</v>
      </c>
      <c r="K1026" s="19">
        <f t="shared" si="15"/>
        <v>248.43999999999869</v>
      </c>
      <c r="L1026" s="18"/>
      <c r="M1026" s="18"/>
      <c r="N1026" s="18"/>
      <c r="O1026" s="26" t="s">
        <v>1036</v>
      </c>
    </row>
    <row r="1027" spans="1:15" ht="15" x14ac:dyDescent="0.25">
      <c r="A1027">
        <v>1025</v>
      </c>
      <c r="B1027" s="7" t="s">
        <v>885</v>
      </c>
      <c r="C1027" s="13" t="s">
        <v>1750</v>
      </c>
      <c r="D1027" s="14" t="s">
        <v>48</v>
      </c>
      <c r="E1027" s="15">
        <v>2454</v>
      </c>
      <c r="F1027" s="16">
        <v>1372</v>
      </c>
      <c r="G1027" s="17" t="s">
        <v>6</v>
      </c>
      <c r="H1027" s="18">
        <v>1</v>
      </c>
      <c r="I1027" s="19">
        <f>VLOOKUP(B1027,[1]Лист2!$A:$J,10,0)</f>
        <v>1653.8150000000001</v>
      </c>
      <c r="J1027" s="29">
        <v>1670.3531500000001</v>
      </c>
      <c r="K1027" s="19">
        <f t="shared" ref="K1027:K1090" si="16">J1027-E1027</f>
        <v>-783.64684999999986</v>
      </c>
      <c r="L1027" s="18"/>
      <c r="M1027" s="18"/>
      <c r="N1027" s="18"/>
      <c r="O1027" s="26" t="s">
        <v>1036</v>
      </c>
    </row>
    <row r="1028" spans="1:15" ht="15" x14ac:dyDescent="0.25">
      <c r="A1028">
        <v>1026</v>
      </c>
      <c r="B1028" s="8" t="s">
        <v>886</v>
      </c>
      <c r="C1028" s="21" t="s">
        <v>1079</v>
      </c>
      <c r="D1028" s="22" t="s">
        <v>48</v>
      </c>
      <c r="E1028" s="15">
        <v>1534</v>
      </c>
      <c r="F1028" s="23">
        <v>1375</v>
      </c>
      <c r="G1028" s="24" t="s">
        <v>6</v>
      </c>
      <c r="H1028" s="18">
        <v>1</v>
      </c>
      <c r="I1028" s="19">
        <f>VLOOKUP(B1028,[1]Лист2!$A:$J,10,0)</f>
        <v>1228.2950000000001</v>
      </c>
      <c r="J1028" s="19">
        <v>1320</v>
      </c>
      <c r="K1028" s="19">
        <f t="shared" si="16"/>
        <v>-214</v>
      </c>
      <c r="L1028" s="18"/>
      <c r="M1028" s="18"/>
      <c r="N1028" s="18"/>
      <c r="O1028" s="26" t="s">
        <v>1036</v>
      </c>
    </row>
    <row r="1029" spans="1:15" ht="15" x14ac:dyDescent="0.25">
      <c r="A1029">
        <v>1027</v>
      </c>
      <c r="B1029" s="7" t="s">
        <v>887</v>
      </c>
      <c r="C1029" s="13" t="s">
        <v>1751</v>
      </c>
      <c r="D1029" s="14" t="s">
        <v>48</v>
      </c>
      <c r="E1029" s="15">
        <v>2606</v>
      </c>
      <c r="F1029" s="16">
        <v>1936</v>
      </c>
      <c r="G1029" s="17" t="s">
        <v>6</v>
      </c>
      <c r="H1029" s="18">
        <v>1</v>
      </c>
      <c r="I1029" s="19">
        <f>VLOOKUP(B1029,[1]Лист2!$A:$J,10,0)</f>
        <v>1737.54</v>
      </c>
      <c r="J1029" s="19">
        <v>1858.56</v>
      </c>
      <c r="K1029" s="19">
        <f t="shared" si="16"/>
        <v>-747.44</v>
      </c>
      <c r="L1029" s="18"/>
      <c r="M1029" s="18"/>
      <c r="N1029" s="18"/>
      <c r="O1029" s="26" t="s">
        <v>1036</v>
      </c>
    </row>
    <row r="1030" spans="1:15" ht="15" x14ac:dyDescent="0.25">
      <c r="A1030">
        <v>1028</v>
      </c>
      <c r="B1030" s="8" t="s">
        <v>888</v>
      </c>
      <c r="C1030" s="21" t="s">
        <v>1752</v>
      </c>
      <c r="D1030" s="22" t="s">
        <v>48</v>
      </c>
      <c r="E1030" s="23">
        <v>1638</v>
      </c>
      <c r="F1030" s="15">
        <v>2880</v>
      </c>
      <c r="G1030" s="24" t="s">
        <v>6</v>
      </c>
      <c r="H1030" s="18">
        <v>1</v>
      </c>
      <c r="I1030" s="19"/>
      <c r="J1030" s="19">
        <v>2764.7999999999997</v>
      </c>
      <c r="K1030" s="19">
        <f t="shared" si="16"/>
        <v>1126.7999999999997</v>
      </c>
      <c r="L1030" s="18"/>
      <c r="M1030" s="18"/>
      <c r="N1030" s="18"/>
      <c r="O1030" s="26" t="s">
        <v>1036</v>
      </c>
    </row>
    <row r="1031" spans="1:15" ht="15" x14ac:dyDescent="0.25">
      <c r="A1031">
        <v>1029</v>
      </c>
      <c r="B1031" s="7" t="s">
        <v>889</v>
      </c>
      <c r="C1031" s="13" t="s">
        <v>1753</v>
      </c>
      <c r="D1031" s="14" t="s">
        <v>48</v>
      </c>
      <c r="E1031" s="15">
        <v>1050</v>
      </c>
      <c r="F1031" s="16">
        <v>552.27</v>
      </c>
      <c r="G1031" s="17" t="s">
        <v>78</v>
      </c>
      <c r="H1031" s="18">
        <v>1</v>
      </c>
      <c r="I1031" s="19">
        <f>VLOOKUP(B1031,[1]Лист2!$A:$J,10,0)</f>
        <v>463.935</v>
      </c>
      <c r="J1031" s="19">
        <v>530.17919999999992</v>
      </c>
      <c r="K1031" s="19">
        <f t="shared" si="16"/>
        <v>-519.82080000000008</v>
      </c>
      <c r="L1031" s="18"/>
      <c r="M1031" s="18"/>
      <c r="N1031" s="18"/>
      <c r="O1031" s="26" t="s">
        <v>1036</v>
      </c>
    </row>
    <row r="1032" spans="1:15" ht="15" x14ac:dyDescent="0.25">
      <c r="A1032">
        <v>1030</v>
      </c>
      <c r="B1032" s="8" t="s">
        <v>890</v>
      </c>
      <c r="C1032" s="21" t="s">
        <v>1754</v>
      </c>
      <c r="D1032" s="22" t="s">
        <v>48</v>
      </c>
      <c r="E1032" s="15">
        <v>2168</v>
      </c>
      <c r="F1032" s="23">
        <v>963</v>
      </c>
      <c r="G1032" s="24" t="s">
        <v>6</v>
      </c>
      <c r="H1032" s="18">
        <v>1</v>
      </c>
      <c r="I1032" s="19">
        <f>VLOOKUP(B1032,[1]Лист2!$A:$J,10,0)</f>
        <v>1300.2</v>
      </c>
      <c r="J1032" s="29">
        <v>1313.202</v>
      </c>
      <c r="K1032" s="19">
        <f t="shared" si="16"/>
        <v>-854.798</v>
      </c>
      <c r="L1032" s="18"/>
      <c r="M1032" s="18"/>
      <c r="N1032" s="18"/>
      <c r="O1032" s="26" t="s">
        <v>1036</v>
      </c>
    </row>
    <row r="1033" spans="1:15" ht="15" x14ac:dyDescent="0.25">
      <c r="A1033">
        <v>1031</v>
      </c>
      <c r="B1033" s="7" t="s">
        <v>891</v>
      </c>
      <c r="C1033" s="13" t="s">
        <v>1755</v>
      </c>
      <c r="D1033" s="14" t="s">
        <v>48</v>
      </c>
      <c r="E1033" s="15">
        <v>4222</v>
      </c>
      <c r="F1033" s="16">
        <v>1088</v>
      </c>
      <c r="G1033" s="17" t="s">
        <v>6</v>
      </c>
      <c r="H1033" s="18">
        <v>1</v>
      </c>
      <c r="I1033" s="19">
        <f>VLOOKUP(B1033,[1]Лист2!$A:$J,10,0)</f>
        <v>1422.34</v>
      </c>
      <c r="J1033" s="29">
        <v>1436.5634</v>
      </c>
      <c r="K1033" s="19">
        <f t="shared" si="16"/>
        <v>-2785.4366</v>
      </c>
      <c r="L1033" s="18"/>
      <c r="M1033" s="18"/>
      <c r="N1033" s="18"/>
      <c r="O1033" s="26" t="s">
        <v>1036</v>
      </c>
    </row>
    <row r="1034" spans="1:15" ht="15" x14ac:dyDescent="0.25">
      <c r="A1034">
        <v>1032</v>
      </c>
      <c r="B1034" s="8" t="s">
        <v>892</v>
      </c>
      <c r="C1034" s="21" t="s">
        <v>1756</v>
      </c>
      <c r="D1034" s="22" t="s">
        <v>48</v>
      </c>
      <c r="E1034" s="15">
        <v>4543</v>
      </c>
      <c r="F1034" s="23">
        <v>1420</v>
      </c>
      <c r="G1034" s="24" t="s">
        <v>6</v>
      </c>
      <c r="H1034" s="18">
        <v>1</v>
      </c>
      <c r="I1034" s="19">
        <f>VLOOKUP(B1034,[1]Лист2!$A:$J,10,0)</f>
        <v>1323.84</v>
      </c>
      <c r="J1034" s="19">
        <v>1363.2</v>
      </c>
      <c r="K1034" s="19">
        <f t="shared" si="16"/>
        <v>-3179.8</v>
      </c>
      <c r="L1034" s="18"/>
      <c r="M1034" s="18"/>
      <c r="N1034" s="18"/>
      <c r="O1034" s="26" t="s">
        <v>1036</v>
      </c>
    </row>
    <row r="1035" spans="1:15" ht="15" x14ac:dyDescent="0.25">
      <c r="A1035">
        <v>1033</v>
      </c>
      <c r="B1035" s="7" t="s">
        <v>893</v>
      </c>
      <c r="C1035" s="13" t="s">
        <v>1757</v>
      </c>
      <c r="D1035" s="14" t="s">
        <v>48</v>
      </c>
      <c r="E1035" s="16">
        <v>83847</v>
      </c>
      <c r="F1035" s="15">
        <v>122462</v>
      </c>
      <c r="G1035" s="17" t="s">
        <v>6</v>
      </c>
      <c r="H1035" s="18">
        <v>1</v>
      </c>
      <c r="I1035" s="19"/>
      <c r="J1035" s="19">
        <v>97500</v>
      </c>
      <c r="K1035" s="19">
        <f t="shared" si="16"/>
        <v>13653</v>
      </c>
      <c r="L1035" s="18"/>
      <c r="M1035" s="18"/>
      <c r="N1035" s="18"/>
      <c r="O1035" s="26" t="s">
        <v>1036</v>
      </c>
    </row>
    <row r="1036" spans="1:15" ht="15" x14ac:dyDescent="0.25">
      <c r="A1036">
        <v>1034</v>
      </c>
      <c r="B1036" s="8" t="s">
        <v>894</v>
      </c>
      <c r="C1036" s="21" t="s">
        <v>1758</v>
      </c>
      <c r="D1036" s="22" t="s">
        <v>233</v>
      </c>
      <c r="E1036" s="23">
        <v>698</v>
      </c>
      <c r="F1036" s="15">
        <v>792</v>
      </c>
      <c r="G1036" s="24" t="s">
        <v>6</v>
      </c>
      <c r="H1036" s="18">
        <v>2</v>
      </c>
      <c r="I1036" s="19"/>
      <c r="J1036" s="19">
        <v>760.31999999999994</v>
      </c>
      <c r="K1036" s="19">
        <f t="shared" si="16"/>
        <v>62.319999999999936</v>
      </c>
      <c r="L1036" s="18"/>
      <c r="M1036" s="18"/>
      <c r="N1036" s="18"/>
      <c r="O1036" s="26" t="s">
        <v>1036</v>
      </c>
    </row>
    <row r="1037" spans="1:15" ht="15" x14ac:dyDescent="0.25">
      <c r="A1037">
        <v>1035</v>
      </c>
      <c r="B1037" s="7" t="s">
        <v>895</v>
      </c>
      <c r="C1037" s="13" t="s">
        <v>1759</v>
      </c>
      <c r="D1037" s="14" t="s">
        <v>896</v>
      </c>
      <c r="E1037" s="16">
        <v>2329</v>
      </c>
      <c r="F1037" s="15">
        <v>2886</v>
      </c>
      <c r="G1037" s="17" t="s">
        <v>6</v>
      </c>
      <c r="H1037" s="18">
        <v>1</v>
      </c>
      <c r="I1037" s="19"/>
      <c r="J1037" s="19">
        <v>2770.56</v>
      </c>
      <c r="K1037" s="19">
        <f t="shared" si="16"/>
        <v>441.55999999999995</v>
      </c>
      <c r="L1037" s="18"/>
      <c r="M1037" s="18"/>
      <c r="N1037" s="18"/>
      <c r="O1037" s="26" t="s">
        <v>1036</v>
      </c>
    </row>
    <row r="1038" spans="1:15" ht="15" x14ac:dyDescent="0.25">
      <c r="A1038">
        <v>1036</v>
      </c>
      <c r="B1038" s="8" t="s">
        <v>897</v>
      </c>
      <c r="C1038" s="21" t="s">
        <v>1760</v>
      </c>
      <c r="D1038" s="22" t="s">
        <v>48</v>
      </c>
      <c r="E1038" s="23">
        <v>89064</v>
      </c>
      <c r="F1038" s="15">
        <v>100730.4</v>
      </c>
      <c r="G1038" s="24" t="s">
        <v>78</v>
      </c>
      <c r="H1038" s="18">
        <v>1</v>
      </c>
      <c r="I1038" s="19"/>
      <c r="J1038" s="19">
        <v>96701.183999999994</v>
      </c>
      <c r="K1038" s="19">
        <f t="shared" si="16"/>
        <v>7637.1839999999938</v>
      </c>
      <c r="L1038" s="18"/>
      <c r="M1038" s="18"/>
      <c r="N1038" s="18"/>
      <c r="O1038" s="26" t="s">
        <v>1036</v>
      </c>
    </row>
    <row r="1039" spans="1:15" ht="15" x14ac:dyDescent="0.25">
      <c r="A1039">
        <v>1037</v>
      </c>
      <c r="B1039" s="7" t="s">
        <v>898</v>
      </c>
      <c r="C1039" s="13" t="s">
        <v>1761</v>
      </c>
      <c r="D1039" s="14" t="s">
        <v>48</v>
      </c>
      <c r="E1039" s="15">
        <v>11572</v>
      </c>
      <c r="F1039" s="16">
        <v>3426</v>
      </c>
      <c r="G1039" s="17" t="s">
        <v>6</v>
      </c>
      <c r="H1039" s="18">
        <v>1</v>
      </c>
      <c r="I1039" s="19">
        <f>VLOOKUP(B1039,[1]Лист2!$A:$J,10,0)</f>
        <v>5654.8850000000002</v>
      </c>
      <c r="J1039" s="29">
        <v>5711.4338500000003</v>
      </c>
      <c r="K1039" s="19">
        <f t="shared" si="16"/>
        <v>-5860.5661499999997</v>
      </c>
      <c r="L1039" s="18"/>
      <c r="M1039" s="18"/>
      <c r="N1039" s="18"/>
      <c r="O1039" s="26" t="s">
        <v>1036</v>
      </c>
    </row>
    <row r="1040" spans="1:15" ht="15" x14ac:dyDescent="0.25">
      <c r="A1040">
        <v>1038</v>
      </c>
      <c r="B1040" s="8" t="s">
        <v>899</v>
      </c>
      <c r="C1040" s="21" t="s">
        <v>1762</v>
      </c>
      <c r="D1040" s="22" t="s">
        <v>48</v>
      </c>
      <c r="E1040" s="23">
        <v>28292</v>
      </c>
      <c r="F1040" s="15">
        <v>41327</v>
      </c>
      <c r="G1040" s="24" t="s">
        <v>6</v>
      </c>
      <c r="H1040" s="18">
        <v>1</v>
      </c>
      <c r="I1040" s="19">
        <f>VLOOKUP(B1040,[1]Лист2!$A:$J,10,0)</f>
        <v>16508.599999999999</v>
      </c>
      <c r="J1040" s="19">
        <v>32550</v>
      </c>
      <c r="K1040" s="19">
        <f t="shared" si="16"/>
        <v>4258</v>
      </c>
      <c r="L1040" s="18"/>
      <c r="M1040" s="18"/>
      <c r="N1040" s="18"/>
      <c r="O1040" s="26" t="s">
        <v>1036</v>
      </c>
    </row>
    <row r="1041" spans="1:15" ht="15" x14ac:dyDescent="0.25">
      <c r="A1041">
        <v>1039</v>
      </c>
      <c r="B1041" s="7" t="s">
        <v>900</v>
      </c>
      <c r="C1041" s="13" t="s">
        <v>1763</v>
      </c>
      <c r="D1041" s="14" t="s">
        <v>48</v>
      </c>
      <c r="E1041" s="16">
        <v>12437</v>
      </c>
      <c r="F1041" s="15">
        <v>14253</v>
      </c>
      <c r="G1041" s="17" t="s">
        <v>6</v>
      </c>
      <c r="H1041" s="18">
        <v>1</v>
      </c>
      <c r="I1041" s="19"/>
      <c r="J1041" s="19">
        <v>13682.88</v>
      </c>
      <c r="K1041" s="19">
        <f t="shared" si="16"/>
        <v>1245.8799999999992</v>
      </c>
      <c r="L1041" s="18"/>
      <c r="M1041" s="18"/>
      <c r="N1041" s="18"/>
      <c r="O1041" s="26" t="s">
        <v>1036</v>
      </c>
    </row>
    <row r="1042" spans="1:15" ht="15" x14ac:dyDescent="0.25">
      <c r="A1042">
        <v>1040</v>
      </c>
      <c r="B1042" s="8" t="s">
        <v>900</v>
      </c>
      <c r="C1042" s="21" t="s">
        <v>1763</v>
      </c>
      <c r="D1042" s="22" t="s">
        <v>48</v>
      </c>
      <c r="E1042" s="23">
        <v>12841</v>
      </c>
      <c r="F1042" s="15">
        <v>14253</v>
      </c>
      <c r="G1042" s="24" t="s">
        <v>6</v>
      </c>
      <c r="H1042" s="18">
        <v>5</v>
      </c>
      <c r="I1042" s="19"/>
      <c r="J1042" s="19">
        <v>13682.88</v>
      </c>
      <c r="K1042" s="19">
        <f t="shared" si="16"/>
        <v>841.8799999999992</v>
      </c>
      <c r="L1042" s="18"/>
      <c r="M1042" s="18"/>
      <c r="N1042" s="18"/>
      <c r="O1042" s="26" t="s">
        <v>1036</v>
      </c>
    </row>
    <row r="1043" spans="1:15" ht="15" x14ac:dyDescent="0.25">
      <c r="A1043">
        <v>1041</v>
      </c>
      <c r="B1043" s="7" t="s">
        <v>900</v>
      </c>
      <c r="C1043" s="13" t="s">
        <v>1763</v>
      </c>
      <c r="D1043" s="14" t="s">
        <v>48</v>
      </c>
      <c r="E1043" s="16">
        <v>10628</v>
      </c>
      <c r="F1043" s="15">
        <v>14253</v>
      </c>
      <c r="G1043" s="17" t="s">
        <v>6</v>
      </c>
      <c r="H1043" s="18">
        <v>1</v>
      </c>
      <c r="I1043" s="19"/>
      <c r="J1043" s="19">
        <v>12682.88</v>
      </c>
      <c r="K1043" s="19">
        <f t="shared" si="16"/>
        <v>2054.8799999999992</v>
      </c>
      <c r="L1043" s="18"/>
      <c r="M1043" s="18"/>
      <c r="N1043" s="18"/>
      <c r="O1043" s="26" t="s">
        <v>1036</v>
      </c>
    </row>
    <row r="1044" spans="1:15" ht="15" x14ac:dyDescent="0.25">
      <c r="A1044">
        <v>1042</v>
      </c>
      <c r="B1044" s="8" t="s">
        <v>900</v>
      </c>
      <c r="C1044" s="21" t="s">
        <v>1763</v>
      </c>
      <c r="D1044" s="22" t="s">
        <v>48</v>
      </c>
      <c r="E1044" s="23">
        <v>12437</v>
      </c>
      <c r="F1044" s="15">
        <v>14253</v>
      </c>
      <c r="G1044" s="24" t="s">
        <v>6</v>
      </c>
      <c r="H1044" s="18">
        <v>1</v>
      </c>
      <c r="I1044" s="19"/>
      <c r="J1044" s="19">
        <v>13682.88</v>
      </c>
      <c r="K1044" s="19">
        <f t="shared" si="16"/>
        <v>1245.8799999999992</v>
      </c>
      <c r="L1044" s="18"/>
      <c r="M1044" s="18"/>
      <c r="N1044" s="18"/>
      <c r="O1044" s="26" t="s">
        <v>1036</v>
      </c>
    </row>
    <row r="1045" spans="1:15" ht="15" x14ac:dyDescent="0.25">
      <c r="A1045">
        <v>1043</v>
      </c>
      <c r="B1045" s="7" t="s">
        <v>901</v>
      </c>
      <c r="C1045" s="13" t="s">
        <v>1764</v>
      </c>
      <c r="D1045" s="14" t="s">
        <v>48</v>
      </c>
      <c r="E1045" s="16">
        <v>12139</v>
      </c>
      <c r="F1045" s="15">
        <v>15960.57</v>
      </c>
      <c r="G1045" s="17" t="s">
        <v>78</v>
      </c>
      <c r="H1045" s="18">
        <v>2</v>
      </c>
      <c r="I1045" s="19">
        <f>VLOOKUP(B1045,[1]Лист2!$A:$J,10,0)</f>
        <v>9565.3349999999991</v>
      </c>
      <c r="J1045" s="19">
        <v>13750</v>
      </c>
      <c r="K1045" s="19">
        <f t="shared" si="16"/>
        <v>1611</v>
      </c>
      <c r="L1045" s="18"/>
      <c r="M1045" s="18"/>
      <c r="N1045" s="18"/>
      <c r="O1045" s="26" t="s">
        <v>1036</v>
      </c>
    </row>
    <row r="1046" spans="1:15" ht="15" x14ac:dyDescent="0.25">
      <c r="A1046">
        <v>1044</v>
      </c>
      <c r="B1046" s="8" t="s">
        <v>901</v>
      </c>
      <c r="C1046" s="21" t="s">
        <v>1764</v>
      </c>
      <c r="D1046" s="22" t="s">
        <v>48</v>
      </c>
      <c r="E1046" s="23">
        <v>12437</v>
      </c>
      <c r="F1046" s="15">
        <v>15960.57</v>
      </c>
      <c r="G1046" s="24" t="s">
        <v>78</v>
      </c>
      <c r="H1046" s="18">
        <v>1</v>
      </c>
      <c r="I1046" s="19">
        <f>VLOOKUP(B1046,[1]Лист2!$A:$J,10,0)</f>
        <v>9565.3349999999991</v>
      </c>
      <c r="J1046" s="19">
        <v>15322.147199999999</v>
      </c>
      <c r="K1046" s="19">
        <f t="shared" si="16"/>
        <v>2885.1471999999994</v>
      </c>
      <c r="L1046" s="18"/>
      <c r="M1046" s="18"/>
      <c r="N1046" s="18"/>
      <c r="O1046" s="26" t="s">
        <v>1036</v>
      </c>
    </row>
    <row r="1047" spans="1:15" ht="15" x14ac:dyDescent="0.25">
      <c r="A1047">
        <v>1045</v>
      </c>
      <c r="B1047" s="7" t="s">
        <v>901</v>
      </c>
      <c r="C1047" s="13" t="s">
        <v>1764</v>
      </c>
      <c r="D1047" s="14" t="s">
        <v>48</v>
      </c>
      <c r="E1047" s="16">
        <v>12139</v>
      </c>
      <c r="F1047" s="15">
        <v>15960.57</v>
      </c>
      <c r="G1047" s="17" t="s">
        <v>78</v>
      </c>
      <c r="H1047" s="18">
        <v>1</v>
      </c>
      <c r="I1047" s="19">
        <f>VLOOKUP(B1047,[1]Лист2!$A:$J,10,0)</f>
        <v>9565.3349999999991</v>
      </c>
      <c r="J1047" s="19">
        <v>13750</v>
      </c>
      <c r="K1047" s="19">
        <f t="shared" si="16"/>
        <v>1611</v>
      </c>
      <c r="L1047" s="18"/>
      <c r="M1047" s="18"/>
      <c r="N1047" s="18"/>
      <c r="O1047" s="26" t="s">
        <v>1036</v>
      </c>
    </row>
    <row r="1048" spans="1:15" ht="15" x14ac:dyDescent="0.25">
      <c r="A1048">
        <v>1046</v>
      </c>
      <c r="B1048" s="8" t="s">
        <v>901</v>
      </c>
      <c r="C1048" s="21" t="s">
        <v>1764</v>
      </c>
      <c r="D1048" s="22" t="s">
        <v>48</v>
      </c>
      <c r="E1048" s="23">
        <v>11413</v>
      </c>
      <c r="F1048" s="15">
        <v>15960.57</v>
      </c>
      <c r="G1048" s="24" t="s">
        <v>78</v>
      </c>
      <c r="H1048" s="18">
        <v>1</v>
      </c>
      <c r="I1048" s="19">
        <f>VLOOKUP(B1048,[1]Лист2!$A:$J,10,0)</f>
        <v>9565.3349999999991</v>
      </c>
      <c r="J1048" s="19">
        <v>12890</v>
      </c>
      <c r="K1048" s="19">
        <f t="shared" si="16"/>
        <v>1477</v>
      </c>
      <c r="L1048" s="18"/>
      <c r="M1048" s="18"/>
      <c r="N1048" s="18"/>
      <c r="O1048" s="26" t="s">
        <v>1036</v>
      </c>
    </row>
    <row r="1049" spans="1:15" ht="15" x14ac:dyDescent="0.25">
      <c r="A1049">
        <v>1047</v>
      </c>
      <c r="B1049" s="7" t="s">
        <v>901</v>
      </c>
      <c r="C1049" s="13" t="s">
        <v>1764</v>
      </c>
      <c r="D1049" s="14" t="s">
        <v>48</v>
      </c>
      <c r="E1049" s="16">
        <v>12437</v>
      </c>
      <c r="F1049" s="15">
        <v>15960.57</v>
      </c>
      <c r="G1049" s="17" t="s">
        <v>78</v>
      </c>
      <c r="H1049" s="18">
        <v>1</v>
      </c>
      <c r="I1049" s="19">
        <f>VLOOKUP(B1049,[1]Лист2!$A:$J,10,0)</f>
        <v>9565.3349999999991</v>
      </c>
      <c r="J1049" s="19">
        <v>15322.147199999999</v>
      </c>
      <c r="K1049" s="19">
        <f t="shared" si="16"/>
        <v>2885.1471999999994</v>
      </c>
      <c r="L1049" s="18"/>
      <c r="M1049" s="18"/>
      <c r="N1049" s="18"/>
      <c r="O1049" s="26" t="s">
        <v>1036</v>
      </c>
    </row>
    <row r="1050" spans="1:15" ht="15" x14ac:dyDescent="0.25">
      <c r="A1050">
        <v>1048</v>
      </c>
      <c r="B1050" s="8" t="s">
        <v>901</v>
      </c>
      <c r="C1050" s="21" t="s">
        <v>1764</v>
      </c>
      <c r="D1050" s="22" t="s">
        <v>48</v>
      </c>
      <c r="E1050" s="23">
        <v>12288</v>
      </c>
      <c r="F1050" s="15">
        <v>15960.57</v>
      </c>
      <c r="G1050" s="24" t="s">
        <v>78</v>
      </c>
      <c r="H1050" s="18">
        <v>1</v>
      </c>
      <c r="I1050" s="19">
        <f>VLOOKUP(B1050,[1]Лист2!$A:$J,10,0)</f>
        <v>9565.3349999999991</v>
      </c>
      <c r="J1050" s="19">
        <v>15322.147199999999</v>
      </c>
      <c r="K1050" s="19">
        <f t="shared" si="16"/>
        <v>3034.1471999999994</v>
      </c>
      <c r="L1050" s="18"/>
      <c r="M1050" s="18"/>
      <c r="N1050" s="18"/>
      <c r="O1050" s="26" t="s">
        <v>1036</v>
      </c>
    </row>
    <row r="1051" spans="1:15" ht="15" x14ac:dyDescent="0.25">
      <c r="A1051">
        <v>1049</v>
      </c>
      <c r="B1051" s="7" t="s">
        <v>901</v>
      </c>
      <c r="C1051" s="13" t="s">
        <v>1764</v>
      </c>
      <c r="D1051" s="14" t="s">
        <v>48</v>
      </c>
      <c r="E1051" s="16">
        <v>12139</v>
      </c>
      <c r="F1051" s="15">
        <v>15960.57</v>
      </c>
      <c r="G1051" s="17" t="s">
        <v>78</v>
      </c>
      <c r="H1051" s="18">
        <v>1</v>
      </c>
      <c r="I1051" s="19">
        <f>VLOOKUP(B1051,[1]Лист2!$A:$J,10,0)</f>
        <v>9565.3349999999991</v>
      </c>
      <c r="J1051" s="19">
        <v>14322.147199999999</v>
      </c>
      <c r="K1051" s="19">
        <f t="shared" si="16"/>
        <v>2183.1471999999994</v>
      </c>
      <c r="L1051" s="18"/>
      <c r="M1051" s="18"/>
      <c r="N1051" s="18"/>
      <c r="O1051" s="26" t="s">
        <v>1036</v>
      </c>
    </row>
    <row r="1052" spans="1:15" ht="15" x14ac:dyDescent="0.25">
      <c r="A1052">
        <v>1050</v>
      </c>
      <c r="B1052" s="8" t="s">
        <v>902</v>
      </c>
      <c r="C1052" s="21" t="s">
        <v>1765</v>
      </c>
      <c r="D1052" s="22" t="s">
        <v>14</v>
      </c>
      <c r="E1052" s="23">
        <v>35358</v>
      </c>
      <c r="F1052" s="15">
        <v>43355</v>
      </c>
      <c r="G1052" s="24" t="s">
        <v>6</v>
      </c>
      <c r="H1052" s="18">
        <v>1</v>
      </c>
      <c r="I1052" s="19"/>
      <c r="J1052" s="19">
        <v>40620.800000000003</v>
      </c>
      <c r="K1052" s="19">
        <f t="shared" si="16"/>
        <v>5262.8000000000029</v>
      </c>
      <c r="L1052" s="18"/>
      <c r="M1052" s="18"/>
      <c r="N1052" s="18"/>
      <c r="O1052" s="26" t="s">
        <v>1036</v>
      </c>
    </row>
    <row r="1053" spans="1:15" ht="15" x14ac:dyDescent="0.25">
      <c r="A1053">
        <v>1051</v>
      </c>
      <c r="B1053" s="7" t="s">
        <v>903</v>
      </c>
      <c r="C1053" s="13" t="s">
        <v>1766</v>
      </c>
      <c r="D1053" s="14" t="s">
        <v>14</v>
      </c>
      <c r="E1053" s="16">
        <v>2058</v>
      </c>
      <c r="F1053" s="15">
        <v>2412</v>
      </c>
      <c r="G1053" s="17" t="s">
        <v>6</v>
      </c>
      <c r="H1053" s="18">
        <v>1</v>
      </c>
      <c r="I1053" s="19"/>
      <c r="J1053" s="19">
        <v>2315.52</v>
      </c>
      <c r="K1053" s="19">
        <f t="shared" si="16"/>
        <v>257.52</v>
      </c>
      <c r="L1053" s="18"/>
      <c r="M1053" s="18"/>
      <c r="N1053" s="18"/>
      <c r="O1053" s="26" t="s">
        <v>1036</v>
      </c>
    </row>
    <row r="1054" spans="1:15" ht="15" x14ac:dyDescent="0.25">
      <c r="A1054">
        <v>1052</v>
      </c>
      <c r="B1054" s="8" t="s">
        <v>904</v>
      </c>
      <c r="C1054" s="21" t="s">
        <v>1767</v>
      </c>
      <c r="D1054" s="22" t="s">
        <v>14</v>
      </c>
      <c r="E1054" s="23">
        <v>5809</v>
      </c>
      <c r="F1054" s="15">
        <v>7131</v>
      </c>
      <c r="G1054" s="24" t="s">
        <v>6</v>
      </c>
      <c r="H1054" s="18">
        <v>1</v>
      </c>
      <c r="I1054" s="19"/>
      <c r="J1054" s="19">
        <v>6845.7599999999993</v>
      </c>
      <c r="K1054" s="19">
        <f t="shared" si="16"/>
        <v>1036.7599999999993</v>
      </c>
      <c r="L1054" s="18"/>
      <c r="M1054" s="18"/>
      <c r="N1054" s="18"/>
      <c r="O1054" s="26" t="s">
        <v>1036</v>
      </c>
    </row>
    <row r="1055" spans="1:15" ht="15" x14ac:dyDescent="0.25">
      <c r="A1055">
        <v>1053</v>
      </c>
      <c r="B1055" s="7" t="s">
        <v>905</v>
      </c>
      <c r="C1055" s="13" t="s">
        <v>1768</v>
      </c>
      <c r="D1055" s="14" t="s">
        <v>14</v>
      </c>
      <c r="E1055" s="16">
        <v>1257</v>
      </c>
      <c r="F1055" s="15">
        <v>1520</v>
      </c>
      <c r="G1055" s="17" t="s">
        <v>6</v>
      </c>
      <c r="H1055" s="18">
        <v>1</v>
      </c>
      <c r="I1055" s="19"/>
      <c r="J1055" s="19">
        <v>1459.2</v>
      </c>
      <c r="K1055" s="19">
        <f t="shared" si="16"/>
        <v>202.20000000000005</v>
      </c>
      <c r="L1055" s="18"/>
      <c r="M1055" s="18"/>
      <c r="N1055" s="18"/>
      <c r="O1055" s="26" t="s">
        <v>1036</v>
      </c>
    </row>
    <row r="1056" spans="1:15" ht="15" x14ac:dyDescent="0.25">
      <c r="A1056">
        <v>1054</v>
      </c>
      <c r="B1056" s="8" t="s">
        <v>906</v>
      </c>
      <c r="C1056" s="21" t="s">
        <v>1769</v>
      </c>
      <c r="D1056" s="22" t="s">
        <v>14</v>
      </c>
      <c r="E1056" s="23">
        <v>19654</v>
      </c>
      <c r="F1056" s="15">
        <v>24104</v>
      </c>
      <c r="G1056" s="24" t="s">
        <v>6</v>
      </c>
      <c r="H1056" s="18">
        <v>1</v>
      </c>
      <c r="I1056" s="19"/>
      <c r="J1056" s="19">
        <v>21050</v>
      </c>
      <c r="K1056" s="19">
        <f t="shared" si="16"/>
        <v>1396</v>
      </c>
      <c r="L1056" s="18"/>
      <c r="M1056" s="18"/>
      <c r="N1056" s="18"/>
      <c r="O1056" s="26" t="s">
        <v>1036</v>
      </c>
    </row>
    <row r="1057" spans="1:15" ht="15" x14ac:dyDescent="0.25">
      <c r="A1057">
        <v>1055</v>
      </c>
      <c r="B1057" s="7" t="s">
        <v>907</v>
      </c>
      <c r="C1057" s="13" t="s">
        <v>1770</v>
      </c>
      <c r="D1057" s="14" t="s">
        <v>14</v>
      </c>
      <c r="E1057" s="15">
        <v>26492</v>
      </c>
      <c r="F1057" s="16">
        <v>18616</v>
      </c>
      <c r="G1057" s="17" t="s">
        <v>6</v>
      </c>
      <c r="H1057" s="18">
        <v>1</v>
      </c>
      <c r="I1057" s="19">
        <f>VLOOKUP(B1057,[1]Лист2!$A:$J,10,0)</f>
        <v>21581.35</v>
      </c>
      <c r="J1057" s="29">
        <v>21797.163499999999</v>
      </c>
      <c r="K1057" s="19">
        <f t="shared" si="16"/>
        <v>-4694.8365000000013</v>
      </c>
      <c r="L1057" s="18"/>
      <c r="M1057" s="18"/>
      <c r="N1057" s="18"/>
      <c r="O1057" s="26" t="s">
        <v>1036</v>
      </c>
    </row>
    <row r="1058" spans="1:15" ht="15" x14ac:dyDescent="0.25">
      <c r="A1058">
        <v>1056</v>
      </c>
      <c r="B1058" s="8" t="s">
        <v>908</v>
      </c>
      <c r="C1058" s="21" t="s">
        <v>1771</v>
      </c>
      <c r="D1058" s="22" t="s">
        <v>14</v>
      </c>
      <c r="E1058" s="23">
        <v>2301</v>
      </c>
      <c r="F1058" s="15">
        <v>2829</v>
      </c>
      <c r="G1058" s="24" t="s">
        <v>6</v>
      </c>
      <c r="H1058" s="18">
        <v>1</v>
      </c>
      <c r="I1058" s="19"/>
      <c r="J1058" s="19">
        <v>2715.8399999999997</v>
      </c>
      <c r="K1058" s="19">
        <f t="shared" si="16"/>
        <v>414.83999999999969</v>
      </c>
      <c r="L1058" s="18"/>
      <c r="M1058" s="18"/>
      <c r="N1058" s="18"/>
      <c r="O1058" s="26" t="s">
        <v>1036</v>
      </c>
    </row>
    <row r="1059" spans="1:15" ht="15" x14ac:dyDescent="0.25">
      <c r="A1059">
        <v>1057</v>
      </c>
      <c r="B1059" s="7" t="s">
        <v>908</v>
      </c>
      <c r="C1059" s="13" t="s">
        <v>1771</v>
      </c>
      <c r="D1059" s="14" t="s">
        <v>14</v>
      </c>
      <c r="E1059" s="16">
        <v>2301</v>
      </c>
      <c r="F1059" s="15">
        <v>2829</v>
      </c>
      <c r="G1059" s="17" t="s">
        <v>6</v>
      </c>
      <c r="H1059" s="18">
        <v>1</v>
      </c>
      <c r="I1059" s="19"/>
      <c r="J1059" s="19">
        <v>2715.8399999999997</v>
      </c>
      <c r="K1059" s="19">
        <f t="shared" si="16"/>
        <v>414.83999999999969</v>
      </c>
      <c r="L1059" s="18"/>
      <c r="M1059" s="18"/>
      <c r="N1059" s="18"/>
      <c r="O1059" s="26" t="s">
        <v>1036</v>
      </c>
    </row>
    <row r="1060" spans="1:15" ht="15" x14ac:dyDescent="0.25">
      <c r="A1060">
        <v>1058</v>
      </c>
      <c r="B1060" s="8" t="s">
        <v>909</v>
      </c>
      <c r="C1060" s="21" t="s">
        <v>1772</v>
      </c>
      <c r="D1060" s="22" t="s">
        <v>14</v>
      </c>
      <c r="E1060" s="15">
        <v>8852</v>
      </c>
      <c r="F1060" s="23">
        <v>2761.34</v>
      </c>
      <c r="G1060" s="24" t="s">
        <v>78</v>
      </c>
      <c r="H1060" s="18">
        <v>1</v>
      </c>
      <c r="I1060" s="19">
        <f>VLOOKUP(B1060,[1]Лист2!$A:$J,10,0)</f>
        <v>2885.0650000000001</v>
      </c>
      <c r="J1060" s="29">
        <v>4650</v>
      </c>
      <c r="K1060" s="19">
        <f t="shared" si="16"/>
        <v>-4202</v>
      </c>
      <c r="L1060" s="18"/>
      <c r="M1060" s="18"/>
      <c r="N1060" s="18"/>
      <c r="O1060" s="26" t="s">
        <v>1036</v>
      </c>
    </row>
    <row r="1061" spans="1:15" ht="15" x14ac:dyDescent="0.25">
      <c r="A1061">
        <v>1059</v>
      </c>
      <c r="B1061" s="7" t="s">
        <v>910</v>
      </c>
      <c r="C1061" s="13" t="s">
        <v>1773</v>
      </c>
      <c r="D1061" s="14" t="s">
        <v>14</v>
      </c>
      <c r="E1061" s="16">
        <v>45879</v>
      </c>
      <c r="F1061" s="15">
        <v>62403</v>
      </c>
      <c r="G1061" s="17" t="s">
        <v>6</v>
      </c>
      <c r="H1061" s="18">
        <v>1</v>
      </c>
      <c r="I1061" s="19"/>
      <c r="J1061" s="19">
        <v>59906.879999999997</v>
      </c>
      <c r="K1061" s="19">
        <f t="shared" si="16"/>
        <v>14027.879999999997</v>
      </c>
      <c r="L1061" s="18"/>
      <c r="M1061" s="18"/>
      <c r="N1061" s="18"/>
      <c r="O1061" s="26" t="s">
        <v>1036</v>
      </c>
    </row>
    <row r="1062" spans="1:15" ht="15" x14ac:dyDescent="0.25">
      <c r="A1062">
        <v>1060</v>
      </c>
      <c r="B1062" s="8" t="s">
        <v>911</v>
      </c>
      <c r="C1062" s="21" t="s">
        <v>1774</v>
      </c>
      <c r="D1062" s="22" t="s">
        <v>14</v>
      </c>
      <c r="E1062" s="23">
        <v>3770</v>
      </c>
      <c r="F1062" s="15">
        <v>4630</v>
      </c>
      <c r="G1062" s="24" t="s">
        <v>6</v>
      </c>
      <c r="H1062" s="18">
        <v>1</v>
      </c>
      <c r="I1062" s="19"/>
      <c r="J1062" s="19">
        <v>4444.8</v>
      </c>
      <c r="K1062" s="19">
        <f t="shared" si="16"/>
        <v>674.80000000000018</v>
      </c>
      <c r="L1062" s="18"/>
      <c r="M1062" s="18"/>
      <c r="N1062" s="18"/>
      <c r="O1062" s="26" t="s">
        <v>1036</v>
      </c>
    </row>
    <row r="1063" spans="1:15" ht="15" x14ac:dyDescent="0.25">
      <c r="A1063">
        <v>1061</v>
      </c>
      <c r="B1063" s="7" t="s">
        <v>912</v>
      </c>
      <c r="C1063" s="13" t="s">
        <v>1775</v>
      </c>
      <c r="D1063" s="14" t="s">
        <v>14</v>
      </c>
      <c r="E1063" s="16">
        <v>2747</v>
      </c>
      <c r="F1063" s="15">
        <v>3376</v>
      </c>
      <c r="G1063" s="17" t="s">
        <v>6</v>
      </c>
      <c r="H1063" s="18">
        <v>1</v>
      </c>
      <c r="I1063" s="19"/>
      <c r="J1063" s="19">
        <v>3240.96</v>
      </c>
      <c r="K1063" s="19">
        <f t="shared" si="16"/>
        <v>493.96000000000004</v>
      </c>
      <c r="L1063" s="18"/>
      <c r="M1063" s="18"/>
      <c r="N1063" s="18"/>
      <c r="O1063" s="26" t="s">
        <v>1036</v>
      </c>
    </row>
    <row r="1064" spans="1:15" ht="15" x14ac:dyDescent="0.25">
      <c r="A1064">
        <v>1062</v>
      </c>
      <c r="B1064" s="8" t="s">
        <v>913</v>
      </c>
      <c r="C1064" s="21" t="s">
        <v>1776</v>
      </c>
      <c r="D1064" s="22" t="s">
        <v>14</v>
      </c>
      <c r="E1064" s="15">
        <v>1258</v>
      </c>
      <c r="F1064" s="23">
        <v>1112</v>
      </c>
      <c r="G1064" s="24" t="s">
        <v>6</v>
      </c>
      <c r="H1064" s="18">
        <v>1</v>
      </c>
      <c r="I1064" s="19">
        <f>VLOOKUP(B1064,[1]Лист2!$A:$J,10,0)</f>
        <v>759.43499999999995</v>
      </c>
      <c r="J1064" s="19">
        <v>1067.52</v>
      </c>
      <c r="K1064" s="19">
        <f t="shared" si="16"/>
        <v>-190.48000000000002</v>
      </c>
      <c r="L1064" s="18"/>
      <c r="M1064" s="18"/>
      <c r="N1064" s="18"/>
      <c r="O1064" s="26" t="s">
        <v>1036</v>
      </c>
    </row>
    <row r="1065" spans="1:15" ht="15" x14ac:dyDescent="0.25">
      <c r="A1065">
        <v>1063</v>
      </c>
      <c r="B1065" s="7" t="s">
        <v>914</v>
      </c>
      <c r="C1065" s="13" t="s">
        <v>1777</v>
      </c>
      <c r="D1065" s="14" t="s">
        <v>14</v>
      </c>
      <c r="E1065" s="16">
        <v>111921</v>
      </c>
      <c r="F1065" s="15">
        <v>136408</v>
      </c>
      <c r="G1065" s="17" t="s">
        <v>6</v>
      </c>
      <c r="H1065" s="18">
        <v>2</v>
      </c>
      <c r="I1065" s="19"/>
      <c r="J1065" s="19">
        <v>124530</v>
      </c>
      <c r="K1065" s="19">
        <f t="shared" si="16"/>
        <v>12609</v>
      </c>
      <c r="L1065" s="18"/>
      <c r="M1065" s="18"/>
      <c r="N1065" s="18"/>
      <c r="O1065" s="26" t="s">
        <v>1036</v>
      </c>
    </row>
    <row r="1066" spans="1:15" ht="15" x14ac:dyDescent="0.25">
      <c r="A1066">
        <v>1064</v>
      </c>
      <c r="B1066" s="8" t="s">
        <v>915</v>
      </c>
      <c r="C1066" s="21" t="s">
        <v>1778</v>
      </c>
      <c r="D1066" s="22" t="s">
        <v>14</v>
      </c>
      <c r="E1066" s="23">
        <v>1522</v>
      </c>
      <c r="F1066" s="15">
        <v>1875</v>
      </c>
      <c r="G1066" s="24" t="s">
        <v>6</v>
      </c>
      <c r="H1066" s="18">
        <v>1</v>
      </c>
      <c r="I1066" s="19"/>
      <c r="J1066" s="19">
        <v>1800</v>
      </c>
      <c r="K1066" s="19">
        <f t="shared" si="16"/>
        <v>278</v>
      </c>
      <c r="L1066" s="18"/>
      <c r="M1066" s="18"/>
      <c r="N1066" s="18"/>
      <c r="O1066" s="26" t="s">
        <v>1036</v>
      </c>
    </row>
    <row r="1067" spans="1:15" ht="15" x14ac:dyDescent="0.25">
      <c r="A1067">
        <v>1065</v>
      </c>
      <c r="B1067" s="7" t="s">
        <v>916</v>
      </c>
      <c r="C1067" s="13" t="s">
        <v>1779</v>
      </c>
      <c r="D1067" s="14" t="s">
        <v>233</v>
      </c>
      <c r="E1067" s="16">
        <v>51403</v>
      </c>
      <c r="F1067" s="15">
        <v>63023</v>
      </c>
      <c r="G1067" s="17" t="s">
        <v>6</v>
      </c>
      <c r="H1067" s="18">
        <v>1</v>
      </c>
      <c r="I1067" s="19"/>
      <c r="J1067" s="19">
        <v>58502.080000000002</v>
      </c>
      <c r="K1067" s="19">
        <f t="shared" si="16"/>
        <v>7099.0800000000017</v>
      </c>
      <c r="L1067" s="18"/>
      <c r="M1067" s="18"/>
      <c r="N1067" s="18"/>
      <c r="O1067" s="26" t="s">
        <v>1036</v>
      </c>
    </row>
    <row r="1068" spans="1:15" ht="15" x14ac:dyDescent="0.25">
      <c r="A1068">
        <v>1066</v>
      </c>
      <c r="B1068" s="8" t="s">
        <v>917</v>
      </c>
      <c r="C1068" s="21" t="s">
        <v>1780</v>
      </c>
      <c r="D1068" s="22" t="s">
        <v>14</v>
      </c>
      <c r="E1068" s="23">
        <v>2893</v>
      </c>
      <c r="F1068" s="15">
        <v>3555</v>
      </c>
      <c r="G1068" s="24" t="s">
        <v>6</v>
      </c>
      <c r="H1068" s="18">
        <v>1</v>
      </c>
      <c r="I1068" s="19">
        <f>VLOOKUP(B1068,[1]Лист2!$A:$J,10,0)</f>
        <v>800.80499999999995</v>
      </c>
      <c r="J1068" s="19">
        <v>3412.7999999999997</v>
      </c>
      <c r="K1068" s="19">
        <f t="shared" si="16"/>
        <v>519.79999999999973</v>
      </c>
      <c r="L1068" s="18"/>
      <c r="M1068" s="18"/>
      <c r="N1068" s="18"/>
      <c r="O1068" s="26" t="s">
        <v>1036</v>
      </c>
    </row>
    <row r="1069" spans="1:15" ht="15" x14ac:dyDescent="0.25">
      <c r="A1069">
        <v>1067</v>
      </c>
      <c r="B1069" s="7" t="s">
        <v>918</v>
      </c>
      <c r="C1069" s="13" t="s">
        <v>1781</v>
      </c>
      <c r="D1069" s="14" t="s">
        <v>14</v>
      </c>
      <c r="E1069" s="16">
        <v>2343</v>
      </c>
      <c r="F1069" s="15">
        <v>2880</v>
      </c>
      <c r="G1069" s="17" t="s">
        <v>6</v>
      </c>
      <c r="H1069" s="18">
        <v>1</v>
      </c>
      <c r="I1069" s="19">
        <f>VLOOKUP(B1069,[1]Лист2!$A:$J,10,0)</f>
        <v>471.815</v>
      </c>
      <c r="J1069" s="19">
        <v>2764.7999999999997</v>
      </c>
      <c r="K1069" s="19">
        <f t="shared" si="16"/>
        <v>421.79999999999973</v>
      </c>
      <c r="L1069" s="18"/>
      <c r="M1069" s="18"/>
      <c r="N1069" s="18"/>
      <c r="O1069" s="26" t="s">
        <v>1036</v>
      </c>
    </row>
    <row r="1070" spans="1:15" ht="15" x14ac:dyDescent="0.25">
      <c r="A1070">
        <v>1068</v>
      </c>
      <c r="B1070" s="8" t="s">
        <v>41</v>
      </c>
      <c r="C1070" s="21" t="s">
        <v>1063</v>
      </c>
      <c r="D1070" s="22" t="s">
        <v>14</v>
      </c>
      <c r="E1070" s="23">
        <v>71206</v>
      </c>
      <c r="F1070" s="15">
        <v>91713</v>
      </c>
      <c r="G1070" s="24" t="s">
        <v>6</v>
      </c>
      <c r="H1070" s="18">
        <v>1</v>
      </c>
      <c r="I1070" s="19"/>
      <c r="J1070" s="19">
        <v>82044.479999999996</v>
      </c>
      <c r="K1070" s="19">
        <f t="shared" si="16"/>
        <v>10838.479999999996</v>
      </c>
      <c r="L1070" s="18"/>
      <c r="M1070" s="18"/>
      <c r="N1070" s="18"/>
      <c r="O1070" s="26" t="s">
        <v>1036</v>
      </c>
    </row>
    <row r="1071" spans="1:15" ht="15" x14ac:dyDescent="0.25">
      <c r="A1071">
        <v>1069</v>
      </c>
      <c r="B1071" s="7" t="s">
        <v>41</v>
      </c>
      <c r="C1071" s="13" t="s">
        <v>1063</v>
      </c>
      <c r="D1071" s="14" t="s">
        <v>14</v>
      </c>
      <c r="E1071" s="16">
        <v>78405</v>
      </c>
      <c r="F1071" s="15">
        <v>91713</v>
      </c>
      <c r="G1071" s="17" t="s">
        <v>6</v>
      </c>
      <c r="H1071" s="18">
        <v>1</v>
      </c>
      <c r="I1071" s="19"/>
      <c r="J1071" s="19">
        <v>85044.479999999996</v>
      </c>
      <c r="K1071" s="19">
        <f t="shared" si="16"/>
        <v>6639.4799999999959</v>
      </c>
      <c r="L1071" s="18"/>
      <c r="M1071" s="18"/>
      <c r="N1071" s="18"/>
      <c r="O1071" s="26" t="s">
        <v>1036</v>
      </c>
    </row>
    <row r="1072" spans="1:15" ht="15" x14ac:dyDescent="0.25">
      <c r="A1072">
        <v>1070</v>
      </c>
      <c r="B1072" s="8" t="s">
        <v>919</v>
      </c>
      <c r="C1072" s="21" t="s">
        <v>1782</v>
      </c>
      <c r="D1072" s="22" t="s">
        <v>14</v>
      </c>
      <c r="E1072" s="23">
        <v>21571</v>
      </c>
      <c r="F1072" s="15">
        <v>26452</v>
      </c>
      <c r="G1072" s="24" t="s">
        <v>6</v>
      </c>
      <c r="H1072" s="18">
        <v>1</v>
      </c>
      <c r="I1072" s="19"/>
      <c r="J1072" s="19">
        <v>23560</v>
      </c>
      <c r="K1072" s="19">
        <f t="shared" si="16"/>
        <v>1989</v>
      </c>
      <c r="L1072" s="18"/>
      <c r="M1072" s="18"/>
      <c r="N1072" s="18"/>
      <c r="O1072" s="26" t="s">
        <v>1036</v>
      </c>
    </row>
    <row r="1073" spans="1:15" ht="15" x14ac:dyDescent="0.25">
      <c r="A1073">
        <v>1071</v>
      </c>
      <c r="B1073" s="7" t="s">
        <v>920</v>
      </c>
      <c r="C1073" s="13" t="s">
        <v>1783</v>
      </c>
      <c r="D1073" s="14" t="s">
        <v>14</v>
      </c>
      <c r="E1073" s="16">
        <v>11498</v>
      </c>
      <c r="F1073" s="15">
        <v>16924</v>
      </c>
      <c r="G1073" s="17" t="s">
        <v>6</v>
      </c>
      <c r="H1073" s="18">
        <v>2</v>
      </c>
      <c r="I1073" s="19"/>
      <c r="J1073" s="19">
        <v>12950</v>
      </c>
      <c r="K1073" s="19">
        <f t="shared" si="16"/>
        <v>1452</v>
      </c>
      <c r="L1073" s="18"/>
      <c r="M1073" s="18"/>
      <c r="N1073" s="18"/>
      <c r="O1073" s="26" t="s">
        <v>1036</v>
      </c>
    </row>
    <row r="1074" spans="1:15" ht="15" x14ac:dyDescent="0.25">
      <c r="A1074">
        <v>1072</v>
      </c>
      <c r="B1074" s="8" t="s">
        <v>43</v>
      </c>
      <c r="C1074" s="21" t="s">
        <v>1065</v>
      </c>
      <c r="D1074" s="22" t="s">
        <v>14</v>
      </c>
      <c r="E1074" s="23">
        <v>1209</v>
      </c>
      <c r="F1074" s="15">
        <v>1787</v>
      </c>
      <c r="G1074" s="24" t="s">
        <v>6</v>
      </c>
      <c r="H1074" s="18">
        <v>1</v>
      </c>
      <c r="I1074" s="19"/>
      <c r="J1074" s="19">
        <v>1715.52</v>
      </c>
      <c r="K1074" s="19">
        <f t="shared" si="16"/>
        <v>506.52</v>
      </c>
      <c r="L1074" s="18"/>
      <c r="M1074" s="18"/>
      <c r="N1074" s="18"/>
      <c r="O1074" s="26" t="s">
        <v>1036</v>
      </c>
    </row>
    <row r="1075" spans="1:15" ht="15" x14ac:dyDescent="0.25">
      <c r="A1075">
        <v>1073</v>
      </c>
      <c r="B1075" s="7" t="s">
        <v>921</v>
      </c>
      <c r="C1075" s="13" t="s">
        <v>1784</v>
      </c>
      <c r="D1075" s="14" t="s">
        <v>14</v>
      </c>
      <c r="E1075" s="16">
        <v>22119</v>
      </c>
      <c r="F1075" s="15">
        <v>27124</v>
      </c>
      <c r="G1075" s="17" t="s">
        <v>6</v>
      </c>
      <c r="H1075" s="18">
        <v>1</v>
      </c>
      <c r="I1075" s="19"/>
      <c r="J1075" s="19">
        <v>24589</v>
      </c>
      <c r="K1075" s="19">
        <f t="shared" si="16"/>
        <v>2470</v>
      </c>
      <c r="L1075" s="18"/>
      <c r="M1075" s="18"/>
      <c r="N1075" s="18"/>
      <c r="O1075" s="26" t="s">
        <v>1036</v>
      </c>
    </row>
    <row r="1076" spans="1:15" ht="15" x14ac:dyDescent="0.25">
      <c r="A1076">
        <v>1074</v>
      </c>
      <c r="B1076" s="8" t="s">
        <v>922</v>
      </c>
      <c r="C1076" s="21" t="s">
        <v>1785</v>
      </c>
      <c r="D1076" s="22" t="s">
        <v>14</v>
      </c>
      <c r="E1076" s="23">
        <v>3610</v>
      </c>
      <c r="F1076" s="15">
        <v>4435</v>
      </c>
      <c r="G1076" s="24" t="s">
        <v>6</v>
      </c>
      <c r="H1076" s="18">
        <v>1</v>
      </c>
      <c r="I1076" s="19"/>
      <c r="J1076" s="19">
        <v>4257.5999999999995</v>
      </c>
      <c r="K1076" s="19">
        <f t="shared" si="16"/>
        <v>647.59999999999945</v>
      </c>
      <c r="L1076" s="18"/>
      <c r="M1076" s="18"/>
      <c r="N1076" s="18"/>
      <c r="O1076" s="26" t="s">
        <v>1036</v>
      </c>
    </row>
    <row r="1077" spans="1:15" ht="15" x14ac:dyDescent="0.25">
      <c r="A1077">
        <v>1075</v>
      </c>
      <c r="B1077" s="7" t="s">
        <v>923</v>
      </c>
      <c r="C1077" s="13" t="s">
        <v>1104</v>
      </c>
      <c r="D1077" s="14" t="s">
        <v>14</v>
      </c>
      <c r="E1077" s="15">
        <v>3034</v>
      </c>
      <c r="F1077" s="16">
        <v>2083</v>
      </c>
      <c r="G1077" s="17" t="s">
        <v>6</v>
      </c>
      <c r="H1077" s="18">
        <v>1</v>
      </c>
      <c r="I1077" s="19">
        <f>VLOOKUP(B1077,[1]Лист2!$A:$J,10,0)</f>
        <v>2112.8249999999998</v>
      </c>
      <c r="J1077" s="29">
        <v>2133.95325</v>
      </c>
      <c r="K1077" s="19">
        <f t="shared" si="16"/>
        <v>-900.04674999999997</v>
      </c>
      <c r="L1077" s="18"/>
      <c r="M1077" s="18"/>
      <c r="N1077" s="18"/>
      <c r="O1077" s="26" t="s">
        <v>1036</v>
      </c>
    </row>
    <row r="1078" spans="1:15" ht="15" x14ac:dyDescent="0.25">
      <c r="A1078">
        <v>1076</v>
      </c>
      <c r="B1078" s="8" t="s">
        <v>923</v>
      </c>
      <c r="C1078" s="21" t="s">
        <v>1104</v>
      </c>
      <c r="D1078" s="22" t="s">
        <v>14</v>
      </c>
      <c r="E1078" s="15">
        <v>3348</v>
      </c>
      <c r="F1078" s="23">
        <v>2083</v>
      </c>
      <c r="G1078" s="24" t="s">
        <v>6</v>
      </c>
      <c r="H1078" s="18">
        <v>1</v>
      </c>
      <c r="I1078" s="19">
        <f>VLOOKUP(B1078,[1]Лист2!$A:$J,10,0)</f>
        <v>2112.8249999999998</v>
      </c>
      <c r="J1078" s="29">
        <v>2133.95325</v>
      </c>
      <c r="K1078" s="19">
        <f t="shared" si="16"/>
        <v>-1214.04675</v>
      </c>
      <c r="L1078" s="18"/>
      <c r="M1078" s="18"/>
      <c r="N1078" s="18"/>
      <c r="O1078" s="26" t="s">
        <v>1036</v>
      </c>
    </row>
    <row r="1079" spans="1:15" ht="15" x14ac:dyDescent="0.25">
      <c r="A1079">
        <v>1077</v>
      </c>
      <c r="B1079" s="7" t="s">
        <v>924</v>
      </c>
      <c r="C1079" s="13" t="s">
        <v>1744</v>
      </c>
      <c r="D1079" s="14" t="s">
        <v>14</v>
      </c>
      <c r="E1079" s="16">
        <v>249770</v>
      </c>
      <c r="F1079" s="15">
        <v>306204</v>
      </c>
      <c r="G1079" s="17" t="s">
        <v>6</v>
      </c>
      <c r="H1079" s="18">
        <v>1</v>
      </c>
      <c r="I1079" s="19"/>
      <c r="J1079" s="19">
        <v>275500</v>
      </c>
      <c r="K1079" s="19">
        <f t="shared" si="16"/>
        <v>25730</v>
      </c>
      <c r="L1079" s="18"/>
      <c r="M1079" s="18"/>
      <c r="N1079" s="18"/>
      <c r="O1079" s="26" t="s">
        <v>1036</v>
      </c>
    </row>
    <row r="1080" spans="1:15" ht="15" x14ac:dyDescent="0.25">
      <c r="A1080">
        <v>1078</v>
      </c>
      <c r="B1080" s="8" t="s">
        <v>925</v>
      </c>
      <c r="C1080" s="21" t="s">
        <v>1786</v>
      </c>
      <c r="D1080" s="22" t="s">
        <v>14</v>
      </c>
      <c r="E1080" s="23">
        <v>352864</v>
      </c>
      <c r="F1080" s="15">
        <v>427679</v>
      </c>
      <c r="G1080" s="24" t="s">
        <v>6</v>
      </c>
      <c r="H1080" s="18">
        <v>1</v>
      </c>
      <c r="I1080" s="19"/>
      <c r="J1080" s="19">
        <v>375000</v>
      </c>
      <c r="K1080" s="19">
        <f t="shared" si="16"/>
        <v>22136</v>
      </c>
      <c r="L1080" s="18"/>
      <c r="M1080" s="18"/>
      <c r="N1080" s="18"/>
      <c r="O1080" s="26" t="s">
        <v>1036</v>
      </c>
    </row>
    <row r="1081" spans="1:15" ht="15" x14ac:dyDescent="0.25">
      <c r="A1081">
        <v>1079</v>
      </c>
      <c r="B1081" s="7" t="s">
        <v>926</v>
      </c>
      <c r="C1081" s="13" t="s">
        <v>1787</v>
      </c>
      <c r="D1081" s="14" t="s">
        <v>14</v>
      </c>
      <c r="E1081" s="15">
        <v>11636</v>
      </c>
      <c r="F1081" s="16">
        <v>6826</v>
      </c>
      <c r="G1081" s="17" t="s">
        <v>6</v>
      </c>
      <c r="H1081" s="18">
        <v>1</v>
      </c>
      <c r="I1081" s="19"/>
      <c r="J1081" s="19">
        <v>11752.36</v>
      </c>
      <c r="K1081" s="19">
        <f t="shared" si="16"/>
        <v>116.36000000000058</v>
      </c>
      <c r="L1081" s="18"/>
      <c r="M1081" s="18"/>
      <c r="N1081" s="18"/>
      <c r="O1081" s="26" t="s">
        <v>1036</v>
      </c>
    </row>
    <row r="1082" spans="1:15" ht="15" x14ac:dyDescent="0.25">
      <c r="A1082">
        <v>1080</v>
      </c>
      <c r="B1082" s="8" t="s">
        <v>927</v>
      </c>
      <c r="C1082" s="21" t="s">
        <v>1788</v>
      </c>
      <c r="D1082" s="22" t="s">
        <v>14</v>
      </c>
      <c r="E1082" s="23">
        <v>19732</v>
      </c>
      <c r="F1082" s="15">
        <v>22926</v>
      </c>
      <c r="G1082" s="24" t="s">
        <v>6</v>
      </c>
      <c r="H1082" s="18">
        <v>1</v>
      </c>
      <c r="I1082" s="19">
        <f>VLOOKUP(B1082,[1]Лист2!$A:$J,10,0)</f>
        <v>18918.895</v>
      </c>
      <c r="J1082" s="19">
        <v>22008.959999999999</v>
      </c>
      <c r="K1082" s="19">
        <f t="shared" si="16"/>
        <v>2276.9599999999991</v>
      </c>
      <c r="L1082" s="18"/>
      <c r="M1082" s="18"/>
      <c r="N1082" s="18"/>
      <c r="O1082" s="26" t="s">
        <v>1036</v>
      </c>
    </row>
    <row r="1083" spans="1:15" ht="15" x14ac:dyDescent="0.25">
      <c r="A1083">
        <v>1081</v>
      </c>
      <c r="B1083" s="7" t="s">
        <v>928</v>
      </c>
      <c r="C1083" s="13" t="s">
        <v>1789</v>
      </c>
      <c r="D1083" s="14" t="s">
        <v>14</v>
      </c>
      <c r="E1083" s="15">
        <v>11495</v>
      </c>
      <c r="F1083" s="16">
        <v>6518</v>
      </c>
      <c r="G1083" s="17" t="s">
        <v>6</v>
      </c>
      <c r="H1083" s="18">
        <v>1</v>
      </c>
      <c r="I1083" s="19"/>
      <c r="J1083" s="19">
        <v>11609.95</v>
      </c>
      <c r="K1083" s="19">
        <f t="shared" si="16"/>
        <v>114.95000000000073</v>
      </c>
      <c r="L1083" s="18"/>
      <c r="M1083" s="18"/>
      <c r="N1083" s="18"/>
      <c r="O1083" s="26" t="s">
        <v>1036</v>
      </c>
    </row>
    <row r="1084" spans="1:15" ht="15" x14ac:dyDescent="0.25">
      <c r="A1084">
        <v>1082</v>
      </c>
      <c r="B1084" s="8" t="s">
        <v>929</v>
      </c>
      <c r="C1084" s="21" t="s">
        <v>1693</v>
      </c>
      <c r="D1084" s="22" t="s">
        <v>14</v>
      </c>
      <c r="E1084" s="23">
        <v>173547</v>
      </c>
      <c r="F1084" s="15">
        <v>212761</v>
      </c>
      <c r="G1084" s="24" t="s">
        <v>6</v>
      </c>
      <c r="H1084" s="18">
        <v>1</v>
      </c>
      <c r="I1084" s="19"/>
      <c r="J1084" s="19">
        <v>185650</v>
      </c>
      <c r="K1084" s="19">
        <f t="shared" si="16"/>
        <v>12103</v>
      </c>
      <c r="L1084" s="18"/>
      <c r="M1084" s="18"/>
      <c r="N1084" s="18"/>
      <c r="O1084" s="26" t="s">
        <v>1036</v>
      </c>
    </row>
    <row r="1085" spans="1:15" ht="15" x14ac:dyDescent="0.25">
      <c r="A1085">
        <v>1083</v>
      </c>
      <c r="B1085" s="7" t="s">
        <v>930</v>
      </c>
      <c r="C1085" s="13" t="s">
        <v>1790</v>
      </c>
      <c r="D1085" s="14" t="s">
        <v>14</v>
      </c>
      <c r="E1085" s="16">
        <v>28087</v>
      </c>
      <c r="F1085" s="15">
        <v>34441</v>
      </c>
      <c r="G1085" s="17" t="s">
        <v>6</v>
      </c>
      <c r="H1085" s="18">
        <v>1</v>
      </c>
      <c r="I1085" s="19"/>
      <c r="J1085" s="19">
        <v>33063.360000000001</v>
      </c>
      <c r="K1085" s="19">
        <f t="shared" si="16"/>
        <v>4976.3600000000006</v>
      </c>
      <c r="L1085" s="18"/>
      <c r="M1085" s="18"/>
      <c r="N1085" s="18"/>
      <c r="O1085" s="26" t="s">
        <v>1036</v>
      </c>
    </row>
    <row r="1086" spans="1:15" ht="15" x14ac:dyDescent="0.25">
      <c r="A1086">
        <v>1084</v>
      </c>
      <c r="B1086" s="30" t="s">
        <v>931</v>
      </c>
      <c r="C1086" s="21" t="s">
        <v>1693</v>
      </c>
      <c r="D1086" s="22" t="s">
        <v>14</v>
      </c>
      <c r="E1086" s="15">
        <v>167097</v>
      </c>
      <c r="F1086" s="23">
        <v>73810</v>
      </c>
      <c r="G1086" s="24" t="s">
        <v>6</v>
      </c>
      <c r="H1086" s="18">
        <v>1</v>
      </c>
      <c r="I1086" s="19">
        <f>VLOOKUP(B1086,[1]Лист2!$A:$J,10,0)</f>
        <v>72924.475000000006</v>
      </c>
      <c r="J1086" s="29">
        <v>73653.719750000004</v>
      </c>
      <c r="K1086" s="19">
        <f t="shared" si="16"/>
        <v>-93443.280249999996</v>
      </c>
      <c r="L1086" s="18"/>
      <c r="M1086" s="18"/>
      <c r="N1086" s="18"/>
      <c r="O1086" s="26" t="s">
        <v>1036</v>
      </c>
    </row>
    <row r="1087" spans="1:15" ht="15" x14ac:dyDescent="0.25">
      <c r="A1087">
        <v>1085</v>
      </c>
      <c r="B1087" s="7" t="s">
        <v>932</v>
      </c>
      <c r="C1087" s="13" t="s">
        <v>1791</v>
      </c>
      <c r="D1087" s="14" t="s">
        <v>14</v>
      </c>
      <c r="E1087" s="15">
        <v>299715</v>
      </c>
      <c r="F1087" s="16">
        <v>267446</v>
      </c>
      <c r="G1087" s="17" t="s">
        <v>6</v>
      </c>
      <c r="H1087" s="18">
        <v>2</v>
      </c>
      <c r="I1087" s="19">
        <f>VLOOKUP(B1087,[1]Лист2!$A:$J,10,0)</f>
        <v>271847.19500000001</v>
      </c>
      <c r="J1087" s="29">
        <v>274565.66694999998</v>
      </c>
      <c r="K1087" s="19">
        <f t="shared" si="16"/>
        <v>-25149.333050000016</v>
      </c>
      <c r="L1087" s="18"/>
      <c r="M1087" s="18"/>
      <c r="N1087" s="18"/>
      <c r="O1087" s="26" t="s">
        <v>1036</v>
      </c>
    </row>
    <row r="1088" spans="1:15" ht="15" x14ac:dyDescent="0.25">
      <c r="A1088">
        <v>1086</v>
      </c>
      <c r="B1088" s="8" t="s">
        <v>933</v>
      </c>
      <c r="C1088" s="21" t="s">
        <v>1792</v>
      </c>
      <c r="D1088" s="22" t="s">
        <v>14</v>
      </c>
      <c r="E1088" s="23">
        <v>54300</v>
      </c>
      <c r="F1088" s="15">
        <v>54509</v>
      </c>
      <c r="G1088" s="24" t="s">
        <v>6</v>
      </c>
      <c r="H1088" s="18">
        <v>1</v>
      </c>
      <c r="I1088" s="19"/>
      <c r="J1088" s="19">
        <v>54843</v>
      </c>
      <c r="K1088" s="19">
        <f t="shared" si="16"/>
        <v>543</v>
      </c>
      <c r="L1088" s="18"/>
      <c r="M1088" s="18"/>
      <c r="N1088" s="18"/>
      <c r="O1088" s="26" t="s">
        <v>1036</v>
      </c>
    </row>
    <row r="1089" spans="1:15" ht="15" x14ac:dyDescent="0.25">
      <c r="A1089">
        <v>1087</v>
      </c>
      <c r="B1089" s="7" t="s">
        <v>934</v>
      </c>
      <c r="C1089" s="13" t="s">
        <v>1265</v>
      </c>
      <c r="D1089" s="14" t="s">
        <v>343</v>
      </c>
      <c r="E1089" s="15">
        <v>5753</v>
      </c>
      <c r="F1089" s="16">
        <v>3935.69</v>
      </c>
      <c r="G1089" s="17" t="s">
        <v>11</v>
      </c>
      <c r="H1089" s="18">
        <v>1</v>
      </c>
      <c r="I1089" s="19">
        <f>VLOOKUP(B1089,[1]Лист2!$A:$J,10,0)</f>
        <v>4254.2150000000001</v>
      </c>
      <c r="J1089" s="29">
        <v>4296.7571500000004</v>
      </c>
      <c r="K1089" s="19">
        <f t="shared" si="16"/>
        <v>-1456.2428499999996</v>
      </c>
      <c r="L1089" s="18"/>
      <c r="M1089" s="18"/>
      <c r="N1089" s="18"/>
      <c r="O1089" s="26" t="s">
        <v>1036</v>
      </c>
    </row>
    <row r="1090" spans="1:15" ht="15" x14ac:dyDescent="0.25">
      <c r="A1090">
        <v>1088</v>
      </c>
      <c r="B1090" s="8" t="s">
        <v>935</v>
      </c>
      <c r="C1090" s="21" t="s">
        <v>1793</v>
      </c>
      <c r="D1090" s="22" t="s">
        <v>119</v>
      </c>
      <c r="E1090" s="15">
        <v>24493</v>
      </c>
      <c r="F1090" s="23">
        <v>4456</v>
      </c>
      <c r="G1090" s="24" t="s">
        <v>6</v>
      </c>
      <c r="H1090" s="18">
        <v>1</v>
      </c>
      <c r="I1090" s="19">
        <f>VLOOKUP(B1090,[1]Лист2!$A:$J,10,0)</f>
        <v>9127.01</v>
      </c>
      <c r="J1090" s="29">
        <v>9218.2800999999999</v>
      </c>
      <c r="K1090" s="19">
        <f t="shared" si="16"/>
        <v>-15274.7199</v>
      </c>
      <c r="L1090" s="18"/>
      <c r="M1090" s="18"/>
      <c r="N1090" s="18"/>
      <c r="O1090" s="26" t="s">
        <v>1036</v>
      </c>
    </row>
    <row r="1091" spans="1:15" ht="15" x14ac:dyDescent="0.25">
      <c r="A1091">
        <v>1089</v>
      </c>
      <c r="B1091" s="7" t="s">
        <v>935</v>
      </c>
      <c r="C1091" s="13" t="s">
        <v>1793</v>
      </c>
      <c r="D1091" s="14" t="s">
        <v>119</v>
      </c>
      <c r="E1091" s="15">
        <v>24493</v>
      </c>
      <c r="F1091" s="16">
        <v>4456</v>
      </c>
      <c r="G1091" s="17" t="s">
        <v>6</v>
      </c>
      <c r="H1091" s="18">
        <v>2</v>
      </c>
      <c r="I1091" s="19">
        <f>VLOOKUP(B1091,[1]Лист2!$A:$J,10,0)</f>
        <v>9127.01</v>
      </c>
      <c r="J1091" s="29">
        <v>9218.2800999999999</v>
      </c>
      <c r="K1091" s="19">
        <f t="shared" ref="K1091:K1154" si="17">J1091-E1091</f>
        <v>-15274.7199</v>
      </c>
      <c r="L1091" s="18"/>
      <c r="M1091" s="18"/>
      <c r="N1091" s="18"/>
      <c r="O1091" s="26" t="s">
        <v>1036</v>
      </c>
    </row>
    <row r="1092" spans="1:15" ht="15" x14ac:dyDescent="0.25">
      <c r="A1092">
        <v>1090</v>
      </c>
      <c r="B1092" s="8" t="s">
        <v>936</v>
      </c>
      <c r="C1092" s="21" t="s">
        <v>1794</v>
      </c>
      <c r="D1092" s="22" t="s">
        <v>119</v>
      </c>
      <c r="E1092" s="15">
        <v>23042</v>
      </c>
      <c r="F1092" s="23">
        <v>2565</v>
      </c>
      <c r="G1092" s="24" t="s">
        <v>6</v>
      </c>
      <c r="H1092" s="18">
        <v>1</v>
      </c>
      <c r="I1092" s="19">
        <f>VLOOKUP(B1092,[1]Лист2!$A:$J,10,0)</f>
        <v>3827.71</v>
      </c>
      <c r="J1092" s="29">
        <v>9589</v>
      </c>
      <c r="K1092" s="19">
        <f t="shared" si="17"/>
        <v>-13453</v>
      </c>
      <c r="L1092" s="18"/>
      <c r="M1092" s="18"/>
      <c r="N1092" s="18"/>
      <c r="O1092" s="26" t="s">
        <v>1036</v>
      </c>
    </row>
    <row r="1093" spans="1:15" ht="15" x14ac:dyDescent="0.25">
      <c r="A1093">
        <v>1091</v>
      </c>
      <c r="B1093" s="7" t="s">
        <v>936</v>
      </c>
      <c r="C1093" s="13" t="s">
        <v>1794</v>
      </c>
      <c r="D1093" s="14" t="s">
        <v>119</v>
      </c>
      <c r="E1093" s="15">
        <v>23042</v>
      </c>
      <c r="F1093" s="16">
        <v>2565</v>
      </c>
      <c r="G1093" s="17" t="s">
        <v>6</v>
      </c>
      <c r="H1093" s="18">
        <v>2</v>
      </c>
      <c r="I1093" s="19">
        <f>VLOOKUP(B1093,[1]Лист2!$A:$J,10,0)</f>
        <v>3827.71</v>
      </c>
      <c r="J1093" s="29">
        <v>9589</v>
      </c>
      <c r="K1093" s="19">
        <f t="shared" si="17"/>
        <v>-13453</v>
      </c>
      <c r="L1093" s="18"/>
      <c r="M1093" s="18"/>
      <c r="N1093" s="18"/>
      <c r="O1093" s="26" t="s">
        <v>1036</v>
      </c>
    </row>
    <row r="1094" spans="1:15" ht="15" x14ac:dyDescent="0.25">
      <c r="A1094">
        <v>1092</v>
      </c>
      <c r="B1094" s="8" t="s">
        <v>937</v>
      </c>
      <c r="C1094" s="21" t="s">
        <v>1795</v>
      </c>
      <c r="D1094" s="22" t="s">
        <v>119</v>
      </c>
      <c r="E1094" s="15">
        <v>46118</v>
      </c>
      <c r="F1094" s="23">
        <v>10727</v>
      </c>
      <c r="G1094" s="24" t="s">
        <v>6</v>
      </c>
      <c r="H1094" s="18">
        <v>1</v>
      </c>
      <c r="I1094" s="19">
        <f>VLOOKUP(B1094,[1]Лист2!$A:$J,10,0)</f>
        <v>21989.14</v>
      </c>
      <c r="J1094" s="29">
        <v>22209.0314</v>
      </c>
      <c r="K1094" s="19">
        <f t="shared" si="17"/>
        <v>-23908.9686</v>
      </c>
      <c r="L1094" s="18"/>
      <c r="M1094" s="18"/>
      <c r="N1094" s="18"/>
      <c r="O1094" s="26" t="s">
        <v>1036</v>
      </c>
    </row>
    <row r="1095" spans="1:15" ht="15" x14ac:dyDescent="0.25">
      <c r="A1095">
        <v>1093</v>
      </c>
      <c r="B1095" s="7" t="s">
        <v>938</v>
      </c>
      <c r="C1095" s="13" t="s">
        <v>1796</v>
      </c>
      <c r="D1095" s="14" t="s">
        <v>939</v>
      </c>
      <c r="E1095" s="15">
        <v>25627</v>
      </c>
      <c r="F1095" s="16">
        <v>24164.69</v>
      </c>
      <c r="G1095" s="17" t="s">
        <v>78</v>
      </c>
      <c r="H1095" s="18">
        <v>1</v>
      </c>
      <c r="I1095" s="19"/>
      <c r="J1095" s="19">
        <v>25883.27</v>
      </c>
      <c r="K1095" s="19">
        <f t="shared" si="17"/>
        <v>256.27000000000044</v>
      </c>
      <c r="L1095" s="18"/>
      <c r="M1095" s="18"/>
      <c r="N1095" s="18"/>
      <c r="O1095" s="26" t="s">
        <v>1036</v>
      </c>
    </row>
    <row r="1096" spans="1:15" ht="15" x14ac:dyDescent="0.25">
      <c r="A1096">
        <v>1094</v>
      </c>
      <c r="B1096" s="8" t="s">
        <v>940</v>
      </c>
      <c r="C1096" s="21" t="s">
        <v>1255</v>
      </c>
      <c r="D1096" s="22" t="s">
        <v>941</v>
      </c>
      <c r="E1096" s="23">
        <v>3095</v>
      </c>
      <c r="F1096" s="15">
        <v>3802</v>
      </c>
      <c r="G1096" s="24" t="s">
        <v>6</v>
      </c>
      <c r="H1096" s="18">
        <v>1</v>
      </c>
      <c r="I1096" s="19"/>
      <c r="J1096" s="19">
        <v>3649.92</v>
      </c>
      <c r="K1096" s="19">
        <f t="shared" si="17"/>
        <v>554.92000000000007</v>
      </c>
      <c r="L1096" s="18"/>
      <c r="M1096" s="18"/>
      <c r="N1096" s="18"/>
      <c r="O1096" s="26" t="s">
        <v>1036</v>
      </c>
    </row>
    <row r="1097" spans="1:15" ht="15" x14ac:dyDescent="0.25">
      <c r="A1097">
        <v>1095</v>
      </c>
      <c r="B1097" s="7" t="s">
        <v>942</v>
      </c>
      <c r="C1097" s="13" t="s">
        <v>1797</v>
      </c>
      <c r="D1097" s="14" t="s">
        <v>165</v>
      </c>
      <c r="E1097" s="16">
        <v>2995</v>
      </c>
      <c r="F1097" s="15">
        <v>4000</v>
      </c>
      <c r="G1097" s="17" t="s">
        <v>6</v>
      </c>
      <c r="H1097" s="18">
        <v>1</v>
      </c>
      <c r="I1097" s="19"/>
      <c r="J1097" s="19">
        <v>3840</v>
      </c>
      <c r="K1097" s="19">
        <f t="shared" si="17"/>
        <v>845</v>
      </c>
      <c r="L1097" s="18"/>
      <c r="M1097" s="18"/>
      <c r="N1097" s="18"/>
      <c r="O1097" s="26" t="s">
        <v>1036</v>
      </c>
    </row>
    <row r="1098" spans="1:15" ht="15" x14ac:dyDescent="0.25">
      <c r="A1098">
        <v>1096</v>
      </c>
      <c r="B1098" s="8" t="s">
        <v>943</v>
      </c>
      <c r="C1098" s="21" t="s">
        <v>1798</v>
      </c>
      <c r="D1098" s="22" t="s">
        <v>165</v>
      </c>
      <c r="E1098" s="23">
        <v>4926</v>
      </c>
      <c r="F1098" s="15">
        <v>6572</v>
      </c>
      <c r="G1098" s="24" t="s">
        <v>6</v>
      </c>
      <c r="H1098" s="18">
        <v>1</v>
      </c>
      <c r="I1098" s="19"/>
      <c r="J1098" s="19">
        <v>6309.12</v>
      </c>
      <c r="K1098" s="19">
        <f t="shared" si="17"/>
        <v>1383.12</v>
      </c>
      <c r="L1098" s="18"/>
      <c r="M1098" s="18"/>
      <c r="N1098" s="18"/>
      <c r="O1098" s="26" t="s">
        <v>1036</v>
      </c>
    </row>
    <row r="1099" spans="1:15" ht="15" x14ac:dyDescent="0.25">
      <c r="A1099">
        <v>1097</v>
      </c>
      <c r="B1099" s="7" t="s">
        <v>944</v>
      </c>
      <c r="C1099" s="13" t="s">
        <v>1799</v>
      </c>
      <c r="D1099" s="14" t="s">
        <v>165</v>
      </c>
      <c r="E1099" s="16">
        <v>3708</v>
      </c>
      <c r="F1099" s="15">
        <v>4950</v>
      </c>
      <c r="G1099" s="17" t="s">
        <v>6</v>
      </c>
      <c r="H1099" s="18">
        <v>1</v>
      </c>
      <c r="I1099" s="19"/>
      <c r="J1099" s="19">
        <v>4752</v>
      </c>
      <c r="K1099" s="19">
        <f t="shared" si="17"/>
        <v>1044</v>
      </c>
      <c r="L1099" s="18"/>
      <c r="M1099" s="18"/>
      <c r="N1099" s="18"/>
      <c r="O1099" s="26" t="s">
        <v>1036</v>
      </c>
    </row>
    <row r="1100" spans="1:15" ht="15" x14ac:dyDescent="0.25">
      <c r="A1100">
        <v>1098</v>
      </c>
      <c r="B1100" s="8" t="s">
        <v>945</v>
      </c>
      <c r="C1100" s="21" t="s">
        <v>1800</v>
      </c>
      <c r="D1100" s="22" t="s">
        <v>5</v>
      </c>
      <c r="E1100" s="15">
        <v>3898</v>
      </c>
      <c r="F1100" s="23">
        <v>2706</v>
      </c>
      <c r="G1100" s="24" t="s">
        <v>6</v>
      </c>
      <c r="H1100" s="18">
        <v>1</v>
      </c>
      <c r="I1100" s="19">
        <f>VLOOKUP(B1100,[1]Лист2!$A:$J,10,0)</f>
        <v>2077.3649999999998</v>
      </c>
      <c r="J1100" s="19">
        <v>2597.7599999999998</v>
      </c>
      <c r="K1100" s="19">
        <f t="shared" si="17"/>
        <v>-1300.2400000000002</v>
      </c>
      <c r="L1100" s="18"/>
      <c r="M1100" s="18"/>
      <c r="N1100" s="18"/>
      <c r="O1100" s="26" t="s">
        <v>1036</v>
      </c>
    </row>
    <row r="1101" spans="1:15" ht="15" x14ac:dyDescent="0.25">
      <c r="A1101">
        <v>1099</v>
      </c>
      <c r="B1101" s="7" t="s">
        <v>945</v>
      </c>
      <c r="C1101" s="13" t="s">
        <v>1800</v>
      </c>
      <c r="D1101" s="14" t="s">
        <v>5</v>
      </c>
      <c r="E1101" s="15">
        <v>3898</v>
      </c>
      <c r="F1101" s="16">
        <v>2706</v>
      </c>
      <c r="G1101" s="17" t="s">
        <v>6</v>
      </c>
      <c r="H1101" s="18">
        <v>2</v>
      </c>
      <c r="I1101" s="19">
        <f>VLOOKUP(B1101,[1]Лист2!$A:$J,10,0)</f>
        <v>2077.3649999999998</v>
      </c>
      <c r="J1101" s="19">
        <v>2597.7599999999998</v>
      </c>
      <c r="K1101" s="19">
        <f t="shared" si="17"/>
        <v>-1300.2400000000002</v>
      </c>
      <c r="L1101" s="18"/>
      <c r="M1101" s="18"/>
      <c r="N1101" s="18"/>
      <c r="O1101" s="26" t="s">
        <v>1036</v>
      </c>
    </row>
    <row r="1102" spans="1:15" ht="15" x14ac:dyDescent="0.25">
      <c r="A1102">
        <v>1100</v>
      </c>
      <c r="B1102" s="8" t="s">
        <v>945</v>
      </c>
      <c r="C1102" s="21" t="s">
        <v>1800</v>
      </c>
      <c r="D1102" s="22" t="s">
        <v>5</v>
      </c>
      <c r="E1102" s="15">
        <v>4206</v>
      </c>
      <c r="F1102" s="23">
        <v>2706</v>
      </c>
      <c r="G1102" s="24" t="s">
        <v>6</v>
      </c>
      <c r="H1102" s="18">
        <v>2</v>
      </c>
      <c r="I1102" s="19">
        <f>VLOOKUP(B1102,[1]Лист2!$A:$J,10,0)</f>
        <v>2077.3649999999998</v>
      </c>
      <c r="J1102" s="19">
        <v>2597.7599999999998</v>
      </c>
      <c r="K1102" s="19">
        <f t="shared" si="17"/>
        <v>-1608.2400000000002</v>
      </c>
      <c r="L1102" s="18"/>
      <c r="M1102" s="18"/>
      <c r="N1102" s="18"/>
      <c r="O1102" s="26" t="s">
        <v>1036</v>
      </c>
    </row>
    <row r="1103" spans="1:15" ht="15" x14ac:dyDescent="0.25">
      <c r="A1103">
        <v>1101</v>
      </c>
      <c r="B1103" s="7" t="s">
        <v>945</v>
      </c>
      <c r="C1103" s="13" t="s">
        <v>1800</v>
      </c>
      <c r="D1103" s="14" t="s">
        <v>5</v>
      </c>
      <c r="E1103" s="15">
        <v>4206</v>
      </c>
      <c r="F1103" s="16">
        <v>2233.94</v>
      </c>
      <c r="G1103" s="17" t="s">
        <v>11</v>
      </c>
      <c r="H1103" s="18">
        <v>1</v>
      </c>
      <c r="I1103" s="19">
        <f>VLOOKUP(B1103,[1]Лист2!$A:$J,10,0)</f>
        <v>2077.3649999999998</v>
      </c>
      <c r="J1103" s="19">
        <v>2144.5823999999998</v>
      </c>
      <c r="K1103" s="19">
        <f t="shared" si="17"/>
        <v>-2061.4176000000002</v>
      </c>
      <c r="L1103" s="18"/>
      <c r="M1103" s="18"/>
      <c r="N1103" s="18"/>
      <c r="O1103" s="26" t="s">
        <v>1036</v>
      </c>
    </row>
    <row r="1104" spans="1:15" ht="15" x14ac:dyDescent="0.25">
      <c r="A1104">
        <v>1102</v>
      </c>
      <c r="B1104" s="8" t="s">
        <v>945</v>
      </c>
      <c r="C1104" s="21" t="s">
        <v>1800</v>
      </c>
      <c r="D1104" s="22" t="s">
        <v>5</v>
      </c>
      <c r="E1104" s="15">
        <v>4206</v>
      </c>
      <c r="F1104" s="23">
        <v>2233.94</v>
      </c>
      <c r="G1104" s="24" t="s">
        <v>11</v>
      </c>
      <c r="H1104" s="18">
        <v>2</v>
      </c>
      <c r="I1104" s="19">
        <f>VLOOKUP(B1104,[1]Лист2!$A:$J,10,0)</f>
        <v>2077.3649999999998</v>
      </c>
      <c r="J1104" s="19">
        <v>2144.5823999999998</v>
      </c>
      <c r="K1104" s="19">
        <f t="shared" si="17"/>
        <v>-2061.4176000000002</v>
      </c>
      <c r="L1104" s="18"/>
      <c r="M1104" s="18"/>
      <c r="N1104" s="18"/>
      <c r="O1104" s="26" t="s">
        <v>1036</v>
      </c>
    </row>
    <row r="1105" spans="1:15" ht="15" x14ac:dyDescent="0.25">
      <c r="A1105">
        <v>1103</v>
      </c>
      <c r="B1105" s="7" t="s">
        <v>946</v>
      </c>
      <c r="C1105" s="13" t="s">
        <v>1801</v>
      </c>
      <c r="D1105" s="14" t="s">
        <v>5</v>
      </c>
      <c r="E1105" s="16">
        <v>39870</v>
      </c>
      <c r="F1105" s="15">
        <v>51011</v>
      </c>
      <c r="G1105" s="17" t="s">
        <v>6</v>
      </c>
      <c r="H1105" s="18">
        <v>1</v>
      </c>
      <c r="I1105" s="19"/>
      <c r="J1105" s="19">
        <v>46970.559999999998</v>
      </c>
      <c r="K1105" s="19">
        <f t="shared" si="17"/>
        <v>7100.5599999999977</v>
      </c>
      <c r="L1105" s="18"/>
      <c r="M1105" s="18"/>
      <c r="N1105" s="18"/>
      <c r="O1105" s="26" t="s">
        <v>1036</v>
      </c>
    </row>
    <row r="1106" spans="1:15" ht="15" x14ac:dyDescent="0.25">
      <c r="A1106">
        <v>1104</v>
      </c>
      <c r="B1106" s="8" t="s">
        <v>947</v>
      </c>
      <c r="C1106" s="21" t="s">
        <v>1343</v>
      </c>
      <c r="D1106" s="22" t="s">
        <v>105</v>
      </c>
      <c r="E1106" s="15">
        <v>10454</v>
      </c>
      <c r="F1106" s="23">
        <v>10325.780000000001</v>
      </c>
      <c r="G1106" s="24" t="s">
        <v>78</v>
      </c>
      <c r="H1106" s="18">
        <v>1</v>
      </c>
      <c r="I1106" s="19"/>
      <c r="J1106" s="19">
        <v>10558.54</v>
      </c>
      <c r="K1106" s="19">
        <f t="shared" si="17"/>
        <v>104.54000000000087</v>
      </c>
      <c r="L1106" s="18"/>
      <c r="M1106" s="18"/>
      <c r="N1106" s="18"/>
      <c r="O1106" s="26" t="s">
        <v>1036</v>
      </c>
    </row>
    <row r="1107" spans="1:15" ht="15" x14ac:dyDescent="0.25">
      <c r="A1107">
        <v>1105</v>
      </c>
      <c r="B1107" s="7" t="s">
        <v>948</v>
      </c>
      <c r="C1107" s="13" t="s">
        <v>1802</v>
      </c>
      <c r="D1107" s="14" t="s">
        <v>230</v>
      </c>
      <c r="E1107" s="16">
        <v>7704</v>
      </c>
      <c r="F1107" s="15">
        <v>9453</v>
      </c>
      <c r="G1107" s="17" t="s">
        <v>6</v>
      </c>
      <c r="H1107" s="18">
        <v>1</v>
      </c>
      <c r="I1107" s="19"/>
      <c r="J1107" s="19">
        <v>9074.8799999999992</v>
      </c>
      <c r="K1107" s="19">
        <f t="shared" si="17"/>
        <v>1370.8799999999992</v>
      </c>
      <c r="L1107" s="18"/>
      <c r="M1107" s="18"/>
      <c r="N1107" s="18"/>
      <c r="O1107" s="26" t="s">
        <v>1036</v>
      </c>
    </row>
    <row r="1108" spans="1:15" ht="15" x14ac:dyDescent="0.25">
      <c r="A1108">
        <v>1106</v>
      </c>
      <c r="B1108" s="8" t="s">
        <v>949</v>
      </c>
      <c r="C1108" s="21" t="s">
        <v>1450</v>
      </c>
      <c r="D1108" s="22" t="s">
        <v>407</v>
      </c>
      <c r="E1108" s="23">
        <v>4848</v>
      </c>
      <c r="F1108" s="15">
        <v>6410.88</v>
      </c>
      <c r="G1108" s="24" t="s">
        <v>78</v>
      </c>
      <c r="H1108" s="18">
        <v>1</v>
      </c>
      <c r="I1108" s="19"/>
      <c r="J1108" s="19">
        <v>6154.4448000000002</v>
      </c>
      <c r="K1108" s="19">
        <f t="shared" si="17"/>
        <v>1306.4448000000002</v>
      </c>
      <c r="L1108" s="18"/>
      <c r="M1108" s="18"/>
      <c r="N1108" s="18"/>
      <c r="O1108" s="26" t="s">
        <v>1036</v>
      </c>
    </row>
    <row r="1109" spans="1:15" ht="15" x14ac:dyDescent="0.25">
      <c r="A1109">
        <v>1107</v>
      </c>
      <c r="B1109" s="7" t="s">
        <v>950</v>
      </c>
      <c r="C1109" s="13" t="s">
        <v>1803</v>
      </c>
      <c r="D1109" s="14" t="s">
        <v>951</v>
      </c>
      <c r="E1109" s="15">
        <v>4724</v>
      </c>
      <c r="F1109" s="16">
        <v>3078</v>
      </c>
      <c r="G1109" s="17" t="s">
        <v>6</v>
      </c>
      <c r="H1109" s="18">
        <v>1</v>
      </c>
      <c r="I1109" s="19">
        <f>VLOOKUP(B1109,[1]Лист2!$A:$J,10,0)</f>
        <v>2730.42</v>
      </c>
      <c r="J1109" s="19">
        <v>2954.88</v>
      </c>
      <c r="K1109" s="19">
        <f t="shared" si="17"/>
        <v>-1769.12</v>
      </c>
      <c r="L1109" s="18"/>
      <c r="M1109" s="18"/>
      <c r="N1109" s="18"/>
      <c r="O1109" s="26" t="s">
        <v>1036</v>
      </c>
    </row>
    <row r="1110" spans="1:15" ht="15" x14ac:dyDescent="0.25">
      <c r="A1110">
        <v>1108</v>
      </c>
      <c r="B1110" s="8" t="s">
        <v>952</v>
      </c>
      <c r="C1110" s="21" t="s">
        <v>1804</v>
      </c>
      <c r="D1110" s="22" t="s">
        <v>951</v>
      </c>
      <c r="E1110" s="15">
        <v>15934</v>
      </c>
      <c r="F1110" s="23">
        <v>11649.75</v>
      </c>
      <c r="G1110" s="24" t="s">
        <v>78</v>
      </c>
      <c r="H1110" s="18">
        <v>1</v>
      </c>
      <c r="I1110" s="19"/>
      <c r="J1110" s="19">
        <v>16093.34</v>
      </c>
      <c r="K1110" s="19">
        <f t="shared" si="17"/>
        <v>159.34000000000015</v>
      </c>
      <c r="L1110" s="18"/>
      <c r="M1110" s="18"/>
      <c r="N1110" s="18"/>
      <c r="O1110" s="26" t="s">
        <v>1036</v>
      </c>
    </row>
    <row r="1111" spans="1:15" ht="15" x14ac:dyDescent="0.25">
      <c r="A1111">
        <v>1109</v>
      </c>
      <c r="B1111" s="7" t="s">
        <v>953</v>
      </c>
      <c r="C1111" s="13" t="s">
        <v>1805</v>
      </c>
      <c r="D1111" s="14" t="s">
        <v>233</v>
      </c>
      <c r="E1111" s="16">
        <v>30747</v>
      </c>
      <c r="F1111" s="15">
        <v>37702</v>
      </c>
      <c r="G1111" s="17" t="s">
        <v>6</v>
      </c>
      <c r="H1111" s="18">
        <v>1</v>
      </c>
      <c r="I1111" s="19"/>
      <c r="J1111" s="19">
        <v>33259</v>
      </c>
      <c r="K1111" s="19">
        <f t="shared" si="17"/>
        <v>2512</v>
      </c>
      <c r="L1111" s="18"/>
      <c r="M1111" s="18"/>
      <c r="N1111" s="18"/>
      <c r="O1111" s="26" t="s">
        <v>1036</v>
      </c>
    </row>
    <row r="1112" spans="1:15" ht="15" x14ac:dyDescent="0.25">
      <c r="A1112">
        <v>1110</v>
      </c>
      <c r="B1112" s="8" t="s">
        <v>954</v>
      </c>
      <c r="C1112" s="21" t="s">
        <v>1806</v>
      </c>
      <c r="D1112" s="22" t="s">
        <v>14</v>
      </c>
      <c r="E1112" s="23">
        <v>68290</v>
      </c>
      <c r="F1112" s="15">
        <v>83726</v>
      </c>
      <c r="G1112" s="24" t="s">
        <v>6</v>
      </c>
      <c r="H1112" s="18">
        <v>1</v>
      </c>
      <c r="I1112" s="19"/>
      <c r="J1112" s="19">
        <v>73376.960000000006</v>
      </c>
      <c r="K1112" s="19">
        <f t="shared" si="17"/>
        <v>5086.9600000000064</v>
      </c>
      <c r="L1112" s="18"/>
      <c r="M1112" s="18"/>
      <c r="N1112" s="18"/>
      <c r="O1112" s="26" t="s">
        <v>1036</v>
      </c>
    </row>
    <row r="1113" spans="1:15" ht="15" x14ac:dyDescent="0.25">
      <c r="A1113">
        <v>1111</v>
      </c>
      <c r="B1113" s="7" t="s">
        <v>955</v>
      </c>
      <c r="C1113" s="13" t="s">
        <v>1807</v>
      </c>
      <c r="D1113" s="14" t="s">
        <v>233</v>
      </c>
      <c r="E1113" s="15">
        <v>2293</v>
      </c>
      <c r="F1113" s="16">
        <v>84</v>
      </c>
      <c r="G1113" s="17" t="s">
        <v>6</v>
      </c>
      <c r="H1113" s="18">
        <v>1</v>
      </c>
      <c r="I1113" s="19">
        <f>VLOOKUP(B1113,[1]Лист2!$A:$J,10,0)</f>
        <v>80.77</v>
      </c>
      <c r="J1113" s="29">
        <v>81.577699999999993</v>
      </c>
      <c r="K1113" s="19">
        <f t="shared" si="17"/>
        <v>-2211.4223000000002</v>
      </c>
      <c r="L1113" s="18"/>
      <c r="M1113" s="18"/>
      <c r="N1113" s="18"/>
      <c r="O1113" s="26" t="s">
        <v>1036</v>
      </c>
    </row>
    <row r="1114" spans="1:15" ht="15" x14ac:dyDescent="0.25">
      <c r="A1114">
        <v>1112</v>
      </c>
      <c r="B1114" s="8" t="s">
        <v>956</v>
      </c>
      <c r="C1114" s="21" t="s">
        <v>1808</v>
      </c>
      <c r="D1114" s="22" t="s">
        <v>233</v>
      </c>
      <c r="E1114" s="23">
        <v>2416</v>
      </c>
      <c r="F1114" s="15">
        <v>2971</v>
      </c>
      <c r="G1114" s="24" t="s">
        <v>6</v>
      </c>
      <c r="H1114" s="18">
        <v>1</v>
      </c>
      <c r="I1114" s="19"/>
      <c r="J1114" s="19">
        <v>2852.16</v>
      </c>
      <c r="K1114" s="19">
        <f t="shared" si="17"/>
        <v>436.15999999999985</v>
      </c>
      <c r="L1114" s="18"/>
      <c r="M1114" s="18"/>
      <c r="N1114" s="18"/>
      <c r="O1114" s="26" t="s">
        <v>1036</v>
      </c>
    </row>
    <row r="1115" spans="1:15" ht="15" x14ac:dyDescent="0.25">
      <c r="A1115">
        <v>1113</v>
      </c>
      <c r="B1115" s="7" t="s">
        <v>957</v>
      </c>
      <c r="C1115" s="13" t="s">
        <v>1809</v>
      </c>
      <c r="D1115" s="14" t="s">
        <v>233</v>
      </c>
      <c r="E1115" s="16">
        <v>36774</v>
      </c>
      <c r="F1115" s="15">
        <v>45090</v>
      </c>
      <c r="G1115" s="17" t="s">
        <v>6</v>
      </c>
      <c r="H1115" s="18">
        <v>1</v>
      </c>
      <c r="I1115" s="19"/>
      <c r="J1115" s="19">
        <v>40286.400000000001</v>
      </c>
      <c r="K1115" s="19">
        <f t="shared" si="17"/>
        <v>3512.4000000000015</v>
      </c>
      <c r="L1115" s="18"/>
      <c r="M1115" s="18"/>
      <c r="N1115" s="18"/>
      <c r="O1115" s="26" t="s">
        <v>1036</v>
      </c>
    </row>
    <row r="1116" spans="1:15" ht="15" x14ac:dyDescent="0.25">
      <c r="A1116">
        <v>1114</v>
      </c>
      <c r="B1116" s="8" t="s">
        <v>958</v>
      </c>
      <c r="C1116" s="21" t="s">
        <v>1810</v>
      </c>
      <c r="D1116" s="22" t="s">
        <v>233</v>
      </c>
      <c r="E1116" s="23">
        <v>4147</v>
      </c>
      <c r="F1116" s="15">
        <v>5092</v>
      </c>
      <c r="G1116" s="24" t="s">
        <v>6</v>
      </c>
      <c r="H1116" s="18">
        <v>1</v>
      </c>
      <c r="I1116" s="19"/>
      <c r="J1116" s="19">
        <v>4888.32</v>
      </c>
      <c r="K1116" s="19">
        <f t="shared" si="17"/>
        <v>741.31999999999971</v>
      </c>
      <c r="L1116" s="18"/>
      <c r="M1116" s="18"/>
      <c r="N1116" s="18"/>
      <c r="O1116" s="26" t="s">
        <v>1036</v>
      </c>
    </row>
    <row r="1117" spans="1:15" ht="15" x14ac:dyDescent="0.25">
      <c r="A1117">
        <v>1115</v>
      </c>
      <c r="B1117" s="7" t="s">
        <v>959</v>
      </c>
      <c r="C1117" s="13" t="s">
        <v>1811</v>
      </c>
      <c r="D1117" s="14" t="s">
        <v>48</v>
      </c>
      <c r="E1117" s="16">
        <v>6113</v>
      </c>
      <c r="F1117" s="15">
        <v>7788</v>
      </c>
      <c r="G1117" s="17" t="s">
        <v>6</v>
      </c>
      <c r="H1117" s="18">
        <v>1</v>
      </c>
      <c r="I1117" s="19"/>
      <c r="J1117" s="19">
        <v>7476.48</v>
      </c>
      <c r="K1117" s="19">
        <f t="shared" si="17"/>
        <v>1363.4799999999996</v>
      </c>
      <c r="L1117" s="18"/>
      <c r="M1117" s="18"/>
      <c r="N1117" s="18"/>
      <c r="O1117" s="26" t="s">
        <v>1036</v>
      </c>
    </row>
    <row r="1118" spans="1:15" ht="15" x14ac:dyDescent="0.25">
      <c r="A1118">
        <v>1116</v>
      </c>
      <c r="B1118" s="8" t="s">
        <v>960</v>
      </c>
      <c r="C1118" s="21" t="s">
        <v>1812</v>
      </c>
      <c r="D1118" s="22" t="s">
        <v>48</v>
      </c>
      <c r="E1118" s="23">
        <v>2914</v>
      </c>
      <c r="F1118" s="15">
        <v>4265</v>
      </c>
      <c r="G1118" s="24" t="s">
        <v>6</v>
      </c>
      <c r="H1118" s="18">
        <v>1</v>
      </c>
      <c r="I1118" s="19"/>
      <c r="J1118" s="19">
        <v>4094.3999999999996</v>
      </c>
      <c r="K1118" s="19">
        <f t="shared" si="17"/>
        <v>1180.3999999999996</v>
      </c>
      <c r="L1118" s="18"/>
      <c r="M1118" s="18"/>
      <c r="N1118" s="18"/>
      <c r="O1118" s="26" t="s">
        <v>1036</v>
      </c>
    </row>
    <row r="1119" spans="1:15" ht="15" x14ac:dyDescent="0.25">
      <c r="A1119">
        <v>1117</v>
      </c>
      <c r="B1119" s="7" t="s">
        <v>961</v>
      </c>
      <c r="C1119" s="13" t="s">
        <v>1813</v>
      </c>
      <c r="D1119" s="14" t="s">
        <v>48</v>
      </c>
      <c r="E1119" s="16">
        <v>4431</v>
      </c>
      <c r="F1119" s="15">
        <v>4965</v>
      </c>
      <c r="G1119" s="17" t="s">
        <v>6</v>
      </c>
      <c r="H1119" s="18">
        <v>1</v>
      </c>
      <c r="I1119" s="19"/>
      <c r="J1119" s="19">
        <v>4766.3999999999996</v>
      </c>
      <c r="K1119" s="19">
        <f t="shared" si="17"/>
        <v>335.39999999999964</v>
      </c>
      <c r="L1119" s="18"/>
      <c r="M1119" s="18"/>
      <c r="N1119" s="18"/>
      <c r="O1119" s="26" t="s">
        <v>1036</v>
      </c>
    </row>
    <row r="1120" spans="1:15" ht="15" x14ac:dyDescent="0.25">
      <c r="A1120">
        <v>1118</v>
      </c>
      <c r="B1120" s="8" t="s">
        <v>961</v>
      </c>
      <c r="C1120" s="21" t="s">
        <v>1813</v>
      </c>
      <c r="D1120" s="22" t="s">
        <v>48</v>
      </c>
      <c r="E1120" s="23">
        <v>4431</v>
      </c>
      <c r="F1120" s="15">
        <v>4965</v>
      </c>
      <c r="G1120" s="24" t="s">
        <v>6</v>
      </c>
      <c r="H1120" s="18">
        <v>1</v>
      </c>
      <c r="I1120" s="19"/>
      <c r="J1120" s="19">
        <v>4766.3999999999996</v>
      </c>
      <c r="K1120" s="19">
        <f t="shared" si="17"/>
        <v>335.39999999999964</v>
      </c>
      <c r="L1120" s="18"/>
      <c r="M1120" s="18"/>
      <c r="N1120" s="18"/>
      <c r="O1120" s="26" t="s">
        <v>1036</v>
      </c>
    </row>
    <row r="1121" spans="1:15" ht="15" x14ac:dyDescent="0.25">
      <c r="A1121">
        <v>1119</v>
      </c>
      <c r="B1121" s="7" t="s">
        <v>962</v>
      </c>
      <c r="C1121" s="13" t="s">
        <v>1814</v>
      </c>
      <c r="D1121" s="14" t="s">
        <v>48</v>
      </c>
      <c r="E1121" s="16">
        <v>1657</v>
      </c>
      <c r="F1121" s="15">
        <v>1893</v>
      </c>
      <c r="G1121" s="17" t="s">
        <v>6</v>
      </c>
      <c r="H1121" s="18">
        <v>1</v>
      </c>
      <c r="I1121" s="19">
        <f>VLOOKUP(B1121,[1]Лист2!$A:$J,10,0)</f>
        <v>1453.86</v>
      </c>
      <c r="J1121" s="19">
        <v>1817.28</v>
      </c>
      <c r="K1121" s="19">
        <f t="shared" si="17"/>
        <v>160.27999999999997</v>
      </c>
      <c r="L1121" s="18"/>
      <c r="M1121" s="18"/>
      <c r="N1121" s="18"/>
      <c r="O1121" s="26" t="s">
        <v>1036</v>
      </c>
    </row>
    <row r="1122" spans="1:15" ht="15" x14ac:dyDescent="0.25">
      <c r="A1122">
        <v>1120</v>
      </c>
      <c r="B1122" s="8" t="s">
        <v>962</v>
      </c>
      <c r="C1122" s="21" t="s">
        <v>1814</v>
      </c>
      <c r="D1122" s="22" t="s">
        <v>48</v>
      </c>
      <c r="E1122" s="15">
        <v>6823</v>
      </c>
      <c r="F1122" s="23">
        <v>1893</v>
      </c>
      <c r="G1122" s="24" t="s">
        <v>6</v>
      </c>
      <c r="H1122" s="18">
        <v>1</v>
      </c>
      <c r="I1122" s="19">
        <f>VLOOKUP(B1122,[1]Лист2!$A:$J,10,0)</f>
        <v>1453.86</v>
      </c>
      <c r="J1122" s="19">
        <v>3469</v>
      </c>
      <c r="K1122" s="19">
        <f t="shared" si="17"/>
        <v>-3354</v>
      </c>
      <c r="L1122" s="18"/>
      <c r="M1122" s="18"/>
      <c r="N1122" s="18"/>
      <c r="O1122" s="26" t="s">
        <v>1036</v>
      </c>
    </row>
    <row r="1123" spans="1:15" ht="15" x14ac:dyDescent="0.25">
      <c r="A1123">
        <v>1121</v>
      </c>
      <c r="B1123" s="7" t="s">
        <v>963</v>
      </c>
      <c r="C1123" s="13" t="s">
        <v>1815</v>
      </c>
      <c r="D1123" s="14" t="s">
        <v>48</v>
      </c>
      <c r="E1123" s="15">
        <v>3102</v>
      </c>
      <c r="F1123" s="16">
        <v>260</v>
      </c>
      <c r="G1123" s="17" t="s">
        <v>6</v>
      </c>
      <c r="H1123" s="18">
        <v>1</v>
      </c>
      <c r="I1123" s="19">
        <f>VLOOKUP(B1123,[1]Лист2!$A:$J,10,0)</f>
        <v>337.85500000000002</v>
      </c>
      <c r="J1123" s="29">
        <v>750</v>
      </c>
      <c r="K1123" s="19">
        <f t="shared" si="17"/>
        <v>-2352</v>
      </c>
      <c r="L1123" s="18"/>
      <c r="M1123" s="18"/>
      <c r="N1123" s="18"/>
      <c r="O1123" s="26" t="s">
        <v>1036</v>
      </c>
    </row>
    <row r="1124" spans="1:15" ht="15" x14ac:dyDescent="0.25">
      <c r="A1124">
        <v>1122</v>
      </c>
      <c r="B1124" s="8" t="s">
        <v>964</v>
      </c>
      <c r="C1124" s="21" t="s">
        <v>1816</v>
      </c>
      <c r="D1124" s="22" t="s">
        <v>14</v>
      </c>
      <c r="E1124" s="15">
        <v>15129</v>
      </c>
      <c r="F1124" s="23">
        <v>3310</v>
      </c>
      <c r="G1124" s="24" t="s">
        <v>6</v>
      </c>
      <c r="H1124" s="18">
        <v>1</v>
      </c>
      <c r="I1124" s="19">
        <f>VLOOKUP(B1124,[1]Лист2!$A:$J,10,0)</f>
        <v>3314.5250000000001</v>
      </c>
      <c r="J1124" s="29">
        <v>5500</v>
      </c>
      <c r="K1124" s="19">
        <f t="shared" si="17"/>
        <v>-9629</v>
      </c>
      <c r="L1124" s="18"/>
      <c r="M1124" s="18"/>
      <c r="N1124" s="18"/>
      <c r="O1124" s="26" t="s">
        <v>1036</v>
      </c>
    </row>
    <row r="1125" spans="1:15" ht="15" x14ac:dyDescent="0.25">
      <c r="A1125">
        <v>1123</v>
      </c>
      <c r="B1125" s="7" t="s">
        <v>964</v>
      </c>
      <c r="C1125" s="13" t="s">
        <v>1816</v>
      </c>
      <c r="D1125" s="14" t="s">
        <v>14</v>
      </c>
      <c r="E1125" s="15">
        <v>15129</v>
      </c>
      <c r="F1125" s="16">
        <v>3310</v>
      </c>
      <c r="G1125" s="17" t="s">
        <v>6</v>
      </c>
      <c r="H1125" s="18">
        <v>4</v>
      </c>
      <c r="I1125" s="19">
        <f>VLOOKUP(B1125,[1]Лист2!$A:$J,10,0)</f>
        <v>3314.5250000000001</v>
      </c>
      <c r="J1125" s="29">
        <v>5500</v>
      </c>
      <c r="K1125" s="19">
        <f t="shared" si="17"/>
        <v>-9629</v>
      </c>
      <c r="L1125" s="18"/>
      <c r="M1125" s="18"/>
      <c r="N1125" s="18"/>
      <c r="O1125" s="26" t="s">
        <v>1036</v>
      </c>
    </row>
    <row r="1126" spans="1:15" ht="15" x14ac:dyDescent="0.25">
      <c r="A1126">
        <v>1124</v>
      </c>
      <c r="B1126" s="8" t="s">
        <v>964</v>
      </c>
      <c r="C1126" s="21" t="s">
        <v>1816</v>
      </c>
      <c r="D1126" s="22" t="s">
        <v>14</v>
      </c>
      <c r="E1126" s="15">
        <v>15129</v>
      </c>
      <c r="F1126" s="23">
        <v>3310</v>
      </c>
      <c r="G1126" s="24" t="s">
        <v>6</v>
      </c>
      <c r="H1126" s="18">
        <v>1</v>
      </c>
      <c r="I1126" s="19">
        <f>VLOOKUP(B1126,[1]Лист2!$A:$J,10,0)</f>
        <v>3314.5250000000001</v>
      </c>
      <c r="J1126" s="29">
        <v>5500</v>
      </c>
      <c r="K1126" s="19">
        <f t="shared" si="17"/>
        <v>-9629</v>
      </c>
      <c r="L1126" s="18"/>
      <c r="M1126" s="18"/>
      <c r="N1126" s="18"/>
      <c r="O1126" s="26" t="s">
        <v>1036</v>
      </c>
    </row>
    <row r="1127" spans="1:15" ht="15" x14ac:dyDescent="0.25">
      <c r="A1127">
        <v>1125</v>
      </c>
      <c r="B1127" s="7" t="s">
        <v>964</v>
      </c>
      <c r="C1127" s="13" t="s">
        <v>1816</v>
      </c>
      <c r="D1127" s="14" t="s">
        <v>14</v>
      </c>
      <c r="E1127" s="15">
        <v>15129</v>
      </c>
      <c r="F1127" s="16">
        <v>3310</v>
      </c>
      <c r="G1127" s="17" t="s">
        <v>6</v>
      </c>
      <c r="H1127" s="18">
        <v>3</v>
      </c>
      <c r="I1127" s="19">
        <f>VLOOKUP(B1127,[1]Лист2!$A:$J,10,0)</f>
        <v>3314.5250000000001</v>
      </c>
      <c r="J1127" s="29">
        <v>5500</v>
      </c>
      <c r="K1127" s="19">
        <f t="shared" si="17"/>
        <v>-9629</v>
      </c>
      <c r="L1127" s="18"/>
      <c r="M1127" s="18"/>
      <c r="N1127" s="18"/>
      <c r="O1127" s="26" t="s">
        <v>1036</v>
      </c>
    </row>
    <row r="1128" spans="1:15" ht="15" x14ac:dyDescent="0.25">
      <c r="A1128">
        <v>1126</v>
      </c>
      <c r="B1128" s="8" t="s">
        <v>965</v>
      </c>
      <c r="C1128" s="21" t="s">
        <v>1817</v>
      </c>
      <c r="D1128" s="22" t="s">
        <v>966</v>
      </c>
      <c r="E1128" s="23">
        <v>2386</v>
      </c>
      <c r="F1128" s="15">
        <v>2934</v>
      </c>
      <c r="G1128" s="24" t="s">
        <v>6</v>
      </c>
      <c r="H1128" s="18">
        <v>1</v>
      </c>
      <c r="I1128" s="19"/>
      <c r="J1128" s="19">
        <v>2816.64</v>
      </c>
      <c r="K1128" s="19">
        <f t="shared" si="17"/>
        <v>430.63999999999987</v>
      </c>
      <c r="L1128" s="18"/>
      <c r="M1128" s="18"/>
      <c r="N1128" s="18"/>
      <c r="O1128" s="26" t="s">
        <v>1036</v>
      </c>
    </row>
    <row r="1129" spans="1:15" ht="15" x14ac:dyDescent="0.25">
      <c r="A1129">
        <v>1127</v>
      </c>
      <c r="B1129" s="7" t="s">
        <v>967</v>
      </c>
      <c r="C1129" s="13" t="s">
        <v>1818</v>
      </c>
      <c r="D1129" s="14" t="s">
        <v>230</v>
      </c>
      <c r="E1129" s="16">
        <v>1481</v>
      </c>
      <c r="F1129" s="15">
        <v>1708.64</v>
      </c>
      <c r="G1129" s="17" t="s">
        <v>11</v>
      </c>
      <c r="H1129" s="18">
        <v>1</v>
      </c>
      <c r="I1129" s="19"/>
      <c r="J1129" s="19">
        <v>1640.2944</v>
      </c>
      <c r="K1129" s="19">
        <f t="shared" si="17"/>
        <v>159.2944</v>
      </c>
      <c r="L1129" s="18"/>
      <c r="M1129" s="18"/>
      <c r="N1129" s="18"/>
      <c r="O1129" s="26" t="s">
        <v>1036</v>
      </c>
    </row>
    <row r="1130" spans="1:15" ht="15" x14ac:dyDescent="0.25">
      <c r="A1130">
        <v>1128</v>
      </c>
      <c r="B1130" s="8" t="s">
        <v>968</v>
      </c>
      <c r="C1130" s="21" t="s">
        <v>1819</v>
      </c>
      <c r="D1130" s="22" t="s">
        <v>969</v>
      </c>
      <c r="E1130" s="23">
        <v>1419</v>
      </c>
      <c r="F1130" s="15">
        <v>2097</v>
      </c>
      <c r="G1130" s="24" t="s">
        <v>6</v>
      </c>
      <c r="H1130" s="18">
        <v>1</v>
      </c>
      <c r="I1130" s="19"/>
      <c r="J1130" s="19">
        <v>2013.12</v>
      </c>
      <c r="K1130" s="19">
        <f t="shared" si="17"/>
        <v>594.11999999999989</v>
      </c>
      <c r="L1130" s="18"/>
      <c r="M1130" s="18"/>
      <c r="N1130" s="18"/>
      <c r="O1130" s="26" t="s">
        <v>1036</v>
      </c>
    </row>
    <row r="1131" spans="1:15" ht="15" x14ac:dyDescent="0.25">
      <c r="A1131">
        <v>1129</v>
      </c>
      <c r="B1131" s="7" t="s">
        <v>970</v>
      </c>
      <c r="C1131" s="13" t="s">
        <v>1820</v>
      </c>
      <c r="D1131" s="14" t="s">
        <v>969</v>
      </c>
      <c r="E1131" s="16">
        <v>1419</v>
      </c>
      <c r="F1131" s="15">
        <v>2097</v>
      </c>
      <c r="G1131" s="17" t="s">
        <v>6</v>
      </c>
      <c r="H1131" s="18">
        <v>1</v>
      </c>
      <c r="I1131" s="19"/>
      <c r="J1131" s="19">
        <v>2013.12</v>
      </c>
      <c r="K1131" s="19">
        <f t="shared" si="17"/>
        <v>594.11999999999989</v>
      </c>
      <c r="L1131" s="18"/>
      <c r="M1131" s="18"/>
      <c r="N1131" s="18"/>
      <c r="O1131" s="26" t="s">
        <v>1036</v>
      </c>
    </row>
    <row r="1132" spans="1:15" ht="15" x14ac:dyDescent="0.25">
      <c r="A1132">
        <v>1130</v>
      </c>
      <c r="B1132" s="8" t="s">
        <v>971</v>
      </c>
      <c r="C1132" s="21" t="s">
        <v>1821</v>
      </c>
      <c r="D1132" s="22" t="s">
        <v>64</v>
      </c>
      <c r="E1132" s="23">
        <v>136</v>
      </c>
      <c r="F1132" s="15">
        <v>438</v>
      </c>
      <c r="G1132" s="24" t="s">
        <v>6</v>
      </c>
      <c r="H1132" s="18">
        <v>1</v>
      </c>
      <c r="I1132" s="19"/>
      <c r="J1132" s="19">
        <v>420.47999999999996</v>
      </c>
      <c r="K1132" s="19">
        <f t="shared" si="17"/>
        <v>284.47999999999996</v>
      </c>
      <c r="L1132" s="18"/>
      <c r="M1132" s="18"/>
      <c r="N1132" s="18"/>
      <c r="O1132" s="20" t="s">
        <v>1037</v>
      </c>
    </row>
    <row r="1133" spans="1:15" ht="15" x14ac:dyDescent="0.25">
      <c r="A1133">
        <v>1131</v>
      </c>
      <c r="B1133" s="7" t="s">
        <v>83</v>
      </c>
      <c r="C1133" s="13" t="s">
        <v>1093</v>
      </c>
      <c r="D1133" s="14" t="s">
        <v>50</v>
      </c>
      <c r="E1133" s="15">
        <v>4</v>
      </c>
      <c r="F1133" s="16">
        <v>3.11</v>
      </c>
      <c r="G1133" s="17" t="s">
        <v>9</v>
      </c>
      <c r="H1133" s="18">
        <v>3</v>
      </c>
      <c r="I1133" s="19">
        <f>VLOOKUP(B1133,[1]Лист2!$A:$J,10,0)</f>
        <v>2.9550000000000001</v>
      </c>
      <c r="J1133" s="19">
        <v>4</v>
      </c>
      <c r="K1133" s="19">
        <f t="shared" si="17"/>
        <v>0</v>
      </c>
      <c r="L1133" s="18"/>
      <c r="M1133" s="18"/>
      <c r="N1133" s="18"/>
      <c r="O1133" s="20" t="s">
        <v>1037</v>
      </c>
    </row>
    <row r="1134" spans="1:15" ht="15" x14ac:dyDescent="0.25">
      <c r="A1134">
        <v>1132</v>
      </c>
      <c r="B1134" s="8" t="s">
        <v>972</v>
      </c>
      <c r="C1134" s="21" t="s">
        <v>1822</v>
      </c>
      <c r="D1134" s="22" t="s">
        <v>50</v>
      </c>
      <c r="E1134" s="23">
        <v>121</v>
      </c>
      <c r="F1134" s="15">
        <v>184</v>
      </c>
      <c r="G1134" s="24" t="s">
        <v>6</v>
      </c>
      <c r="H1134" s="18">
        <v>1</v>
      </c>
      <c r="I1134" s="19"/>
      <c r="J1134" s="19">
        <v>176.64</v>
      </c>
      <c r="K1134" s="19">
        <f t="shared" si="17"/>
        <v>55.639999999999986</v>
      </c>
      <c r="L1134" s="18"/>
      <c r="M1134" s="18"/>
      <c r="N1134" s="18"/>
      <c r="O1134" s="20" t="s">
        <v>1037</v>
      </c>
    </row>
    <row r="1135" spans="1:15" ht="15" x14ac:dyDescent="0.25">
      <c r="A1135">
        <v>1133</v>
      </c>
      <c r="B1135" s="7" t="s">
        <v>973</v>
      </c>
      <c r="C1135" s="13" t="s">
        <v>1823</v>
      </c>
      <c r="D1135" s="14" t="s">
        <v>275</v>
      </c>
      <c r="E1135" s="16">
        <v>531</v>
      </c>
      <c r="F1135" s="15">
        <v>640</v>
      </c>
      <c r="G1135" s="17" t="s">
        <v>6</v>
      </c>
      <c r="H1135" s="18">
        <v>1</v>
      </c>
      <c r="I1135" s="19"/>
      <c r="J1135" s="19">
        <v>614.4</v>
      </c>
      <c r="K1135" s="19">
        <f t="shared" si="17"/>
        <v>83.399999999999977</v>
      </c>
      <c r="L1135" s="18"/>
      <c r="M1135" s="18"/>
      <c r="N1135" s="18"/>
      <c r="O1135" s="20" t="s">
        <v>1037</v>
      </c>
    </row>
    <row r="1136" spans="1:15" ht="15" x14ac:dyDescent="0.25">
      <c r="A1136">
        <v>1134</v>
      </c>
      <c r="B1136" s="8" t="s">
        <v>974</v>
      </c>
      <c r="C1136" s="21" t="s">
        <v>1824</v>
      </c>
      <c r="D1136" s="22" t="s">
        <v>16</v>
      </c>
      <c r="E1136" s="23">
        <v>779</v>
      </c>
      <c r="F1136" s="15">
        <v>1171</v>
      </c>
      <c r="G1136" s="24" t="s">
        <v>6</v>
      </c>
      <c r="H1136" s="18">
        <v>1</v>
      </c>
      <c r="I1136" s="19"/>
      <c r="J1136" s="19">
        <v>1124.1599999999999</v>
      </c>
      <c r="K1136" s="19">
        <f t="shared" si="17"/>
        <v>345.15999999999985</v>
      </c>
      <c r="L1136" s="18"/>
      <c r="M1136" s="18"/>
      <c r="N1136" s="18"/>
      <c r="O1136" s="20" t="s">
        <v>1037</v>
      </c>
    </row>
    <row r="1137" spans="1:15" ht="15" x14ac:dyDescent="0.25">
      <c r="A1137">
        <v>1135</v>
      </c>
      <c r="B1137" s="7" t="s">
        <v>975</v>
      </c>
      <c r="C1137" s="13" t="s">
        <v>1825</v>
      </c>
      <c r="D1137" s="14" t="s">
        <v>16</v>
      </c>
      <c r="E1137" s="16">
        <v>779</v>
      </c>
      <c r="F1137" s="15">
        <v>1100</v>
      </c>
      <c r="G1137" s="17" t="s">
        <v>6</v>
      </c>
      <c r="H1137" s="18">
        <v>1</v>
      </c>
      <c r="I1137" s="19"/>
      <c r="J1137" s="19">
        <v>1056</v>
      </c>
      <c r="K1137" s="19">
        <f t="shared" si="17"/>
        <v>277</v>
      </c>
      <c r="L1137" s="18"/>
      <c r="M1137" s="18"/>
      <c r="N1137" s="18"/>
      <c r="O1137" s="20" t="s">
        <v>1037</v>
      </c>
    </row>
    <row r="1138" spans="1:15" ht="15" x14ac:dyDescent="0.25">
      <c r="A1138">
        <v>1136</v>
      </c>
      <c r="B1138" s="8" t="s">
        <v>976</v>
      </c>
      <c r="C1138" s="21" t="s">
        <v>1826</v>
      </c>
      <c r="D1138" s="22" t="s">
        <v>307</v>
      </c>
      <c r="E1138" s="23">
        <v>88</v>
      </c>
      <c r="F1138" s="15">
        <v>108</v>
      </c>
      <c r="G1138" s="24" t="s">
        <v>6</v>
      </c>
      <c r="H1138" s="18">
        <v>6</v>
      </c>
      <c r="I1138" s="19"/>
      <c r="J1138" s="19">
        <v>103.67999999999999</v>
      </c>
      <c r="K1138" s="19">
        <f t="shared" si="17"/>
        <v>15.679999999999993</v>
      </c>
      <c r="L1138" s="18"/>
      <c r="M1138" s="18"/>
      <c r="N1138" s="18"/>
      <c r="O1138" s="20" t="s">
        <v>1037</v>
      </c>
    </row>
    <row r="1139" spans="1:15" ht="15" x14ac:dyDescent="0.25">
      <c r="A1139">
        <v>1137</v>
      </c>
      <c r="B1139" s="7" t="s">
        <v>977</v>
      </c>
      <c r="C1139" s="13" t="s">
        <v>1827</v>
      </c>
      <c r="D1139" s="14" t="s">
        <v>233</v>
      </c>
      <c r="E1139" s="16">
        <v>706</v>
      </c>
      <c r="F1139" s="15">
        <v>1343</v>
      </c>
      <c r="G1139" s="17" t="s">
        <v>6</v>
      </c>
      <c r="H1139" s="18">
        <v>1</v>
      </c>
      <c r="I1139" s="19"/>
      <c r="J1139" s="19">
        <v>1289.28</v>
      </c>
      <c r="K1139" s="19">
        <f t="shared" si="17"/>
        <v>583.28</v>
      </c>
      <c r="L1139" s="18"/>
      <c r="M1139" s="18"/>
      <c r="N1139" s="18"/>
      <c r="O1139" s="20" t="s">
        <v>1037</v>
      </c>
    </row>
    <row r="1140" spans="1:15" ht="15" x14ac:dyDescent="0.25">
      <c r="A1140">
        <v>1138</v>
      </c>
      <c r="B1140" s="8" t="s">
        <v>978</v>
      </c>
      <c r="C1140" s="21" t="s">
        <v>1828</v>
      </c>
      <c r="D1140" s="22" t="s">
        <v>951</v>
      </c>
      <c r="E1140" s="23">
        <v>200</v>
      </c>
      <c r="F1140" s="15">
        <v>293</v>
      </c>
      <c r="G1140" s="24" t="s">
        <v>6</v>
      </c>
      <c r="H1140" s="18">
        <v>1</v>
      </c>
      <c r="I1140" s="19">
        <f>VLOOKUP(B1140,[1]Лист2!$A:$J,10,0)</f>
        <v>183.21</v>
      </c>
      <c r="J1140" s="19">
        <v>281.27999999999997</v>
      </c>
      <c r="K1140" s="19">
        <f t="shared" si="17"/>
        <v>81.279999999999973</v>
      </c>
      <c r="L1140" s="18"/>
      <c r="M1140" s="18"/>
      <c r="N1140" s="18"/>
      <c r="O1140" s="20" t="s">
        <v>1037</v>
      </c>
    </row>
    <row r="1141" spans="1:15" ht="15" x14ac:dyDescent="0.25">
      <c r="A1141">
        <v>1139</v>
      </c>
      <c r="B1141" s="7" t="s">
        <v>979</v>
      </c>
      <c r="C1141" s="13" t="s">
        <v>1619</v>
      </c>
      <c r="D1141" s="14" t="s">
        <v>275</v>
      </c>
      <c r="E1141" s="15">
        <v>2082</v>
      </c>
      <c r="F1141" s="16">
        <v>1915</v>
      </c>
      <c r="G1141" s="17" t="s">
        <v>6</v>
      </c>
      <c r="H1141" s="18">
        <v>1</v>
      </c>
      <c r="I1141" s="19"/>
      <c r="J1141" s="19">
        <v>2102.8200000000002</v>
      </c>
      <c r="K1141" s="19">
        <f t="shared" si="17"/>
        <v>20.820000000000164</v>
      </c>
      <c r="L1141" s="18"/>
      <c r="M1141" s="18"/>
      <c r="N1141" s="18"/>
      <c r="O1141" s="20" t="s">
        <v>1037</v>
      </c>
    </row>
    <row r="1142" spans="1:15" ht="15" x14ac:dyDescent="0.25">
      <c r="A1142">
        <v>1140</v>
      </c>
      <c r="B1142" s="8" t="s">
        <v>980</v>
      </c>
      <c r="C1142" s="21" t="s">
        <v>1829</v>
      </c>
      <c r="D1142" s="22" t="s">
        <v>275</v>
      </c>
      <c r="E1142" s="15">
        <v>4928</v>
      </c>
      <c r="F1142" s="23">
        <v>2620</v>
      </c>
      <c r="G1142" s="24" t="s">
        <v>6</v>
      </c>
      <c r="H1142" s="18">
        <v>1</v>
      </c>
      <c r="I1142" s="19"/>
      <c r="J1142" s="19">
        <v>4977.28</v>
      </c>
      <c r="K1142" s="19">
        <f t="shared" si="17"/>
        <v>49.279999999999745</v>
      </c>
      <c r="L1142" s="18"/>
      <c r="M1142" s="18"/>
      <c r="N1142" s="18"/>
      <c r="O1142" s="20" t="s">
        <v>1037</v>
      </c>
    </row>
    <row r="1143" spans="1:15" ht="15" x14ac:dyDescent="0.25">
      <c r="A1143">
        <v>1141</v>
      </c>
      <c r="B1143" s="7" t="s">
        <v>981</v>
      </c>
      <c r="C1143" s="13" t="s">
        <v>1830</v>
      </c>
      <c r="D1143" s="14" t="s">
        <v>275</v>
      </c>
      <c r="E1143" s="16">
        <v>2262</v>
      </c>
      <c r="F1143" s="15">
        <v>2985</v>
      </c>
      <c r="G1143" s="17" t="s">
        <v>6</v>
      </c>
      <c r="H1143" s="18">
        <v>1</v>
      </c>
      <c r="I1143" s="19"/>
      <c r="J1143" s="19">
        <v>2865.6</v>
      </c>
      <c r="K1143" s="19">
        <f t="shared" si="17"/>
        <v>603.59999999999991</v>
      </c>
      <c r="L1143" s="18"/>
      <c r="M1143" s="18"/>
      <c r="N1143" s="18"/>
      <c r="O1143" s="20" t="s">
        <v>1037</v>
      </c>
    </row>
    <row r="1144" spans="1:15" ht="15" x14ac:dyDescent="0.25">
      <c r="A1144">
        <v>1142</v>
      </c>
      <c r="B1144" s="8" t="s">
        <v>982</v>
      </c>
      <c r="C1144" s="21" t="s">
        <v>1614</v>
      </c>
      <c r="D1144" s="22" t="s">
        <v>16</v>
      </c>
      <c r="E1144" s="15">
        <v>1468</v>
      </c>
      <c r="F1144" s="23">
        <v>701</v>
      </c>
      <c r="G1144" s="24" t="s">
        <v>6</v>
      </c>
      <c r="H1144" s="18">
        <v>1</v>
      </c>
      <c r="I1144" s="19"/>
      <c r="J1144" s="19">
        <v>1482.68</v>
      </c>
      <c r="K1144" s="19">
        <f t="shared" si="17"/>
        <v>14.680000000000064</v>
      </c>
      <c r="L1144" s="18"/>
      <c r="M1144" s="18"/>
      <c r="N1144" s="18"/>
      <c r="O1144" s="20" t="s">
        <v>1037</v>
      </c>
    </row>
    <row r="1145" spans="1:15" ht="15" x14ac:dyDescent="0.25">
      <c r="A1145">
        <v>1143</v>
      </c>
      <c r="B1145" s="7" t="s">
        <v>983</v>
      </c>
      <c r="C1145" s="13" t="s">
        <v>1831</v>
      </c>
      <c r="D1145" s="14" t="s">
        <v>50</v>
      </c>
      <c r="E1145" s="15">
        <v>11420</v>
      </c>
      <c r="F1145" s="16">
        <v>10180.129999999999</v>
      </c>
      <c r="G1145" s="17" t="s">
        <v>71</v>
      </c>
      <c r="H1145" s="18">
        <v>1</v>
      </c>
      <c r="I1145" s="19"/>
      <c r="J1145" s="19">
        <v>11534.2</v>
      </c>
      <c r="K1145" s="19">
        <f t="shared" si="17"/>
        <v>114.20000000000073</v>
      </c>
      <c r="L1145" s="18"/>
      <c r="M1145" s="18"/>
      <c r="N1145" s="18"/>
      <c r="O1145" s="20" t="s">
        <v>1037</v>
      </c>
    </row>
    <row r="1146" spans="1:15" ht="15" x14ac:dyDescent="0.25">
      <c r="A1146">
        <v>1144</v>
      </c>
      <c r="B1146" s="30" t="s">
        <v>984</v>
      </c>
      <c r="C1146" s="21" t="s">
        <v>1832</v>
      </c>
      <c r="D1146" s="22" t="s">
        <v>8</v>
      </c>
      <c r="E1146" s="15">
        <v>351750</v>
      </c>
      <c r="F1146" s="23">
        <v>290000</v>
      </c>
      <c r="G1146" s="24" t="s">
        <v>136</v>
      </c>
      <c r="H1146" s="18">
        <v>1</v>
      </c>
      <c r="I1146" s="19">
        <f>VLOOKUP(B1146,[1]Лист2!$A:$J,10,0)</f>
        <v>260934.38</v>
      </c>
      <c r="J1146" s="19">
        <v>295059</v>
      </c>
      <c r="K1146" s="19">
        <f t="shared" si="17"/>
        <v>-56691</v>
      </c>
      <c r="L1146" s="18"/>
      <c r="M1146" s="18"/>
      <c r="N1146" s="18"/>
      <c r="O1146" s="20" t="s">
        <v>1037</v>
      </c>
    </row>
    <row r="1147" spans="1:15" ht="15" x14ac:dyDescent="0.25">
      <c r="A1147">
        <v>1145</v>
      </c>
      <c r="B1147" s="7" t="s">
        <v>985</v>
      </c>
      <c r="C1147" s="13" t="s">
        <v>1521</v>
      </c>
      <c r="D1147" s="14" t="s">
        <v>18</v>
      </c>
      <c r="E1147" s="16">
        <v>606375</v>
      </c>
      <c r="F1147" s="15">
        <v>836369</v>
      </c>
      <c r="G1147" s="17" t="s">
        <v>6</v>
      </c>
      <c r="H1147" s="18">
        <v>1</v>
      </c>
      <c r="I1147" s="19"/>
      <c r="J1147" s="19">
        <v>641000</v>
      </c>
      <c r="K1147" s="19">
        <f t="shared" si="17"/>
        <v>34625</v>
      </c>
      <c r="L1147" s="18"/>
      <c r="M1147" s="18"/>
      <c r="N1147" s="18"/>
      <c r="O1147" s="20" t="s">
        <v>1037</v>
      </c>
    </row>
    <row r="1148" spans="1:15" ht="15" x14ac:dyDescent="0.25">
      <c r="A1148">
        <v>1146</v>
      </c>
      <c r="B1148" s="8" t="s">
        <v>986</v>
      </c>
      <c r="C1148" s="21" t="s">
        <v>1693</v>
      </c>
      <c r="D1148" s="22" t="s">
        <v>18</v>
      </c>
      <c r="E1148" s="23">
        <v>606375</v>
      </c>
      <c r="F1148" s="15">
        <v>836369</v>
      </c>
      <c r="G1148" s="24" t="s">
        <v>6</v>
      </c>
      <c r="H1148" s="18">
        <v>1</v>
      </c>
      <c r="I1148" s="19"/>
      <c r="J1148" s="19">
        <v>641000</v>
      </c>
      <c r="K1148" s="19">
        <f t="shared" si="17"/>
        <v>34625</v>
      </c>
      <c r="L1148" s="18"/>
      <c r="M1148" s="18"/>
      <c r="N1148" s="18"/>
      <c r="O1148" s="20" t="s">
        <v>1037</v>
      </c>
    </row>
    <row r="1149" spans="1:15" ht="15" x14ac:dyDescent="0.25">
      <c r="A1149">
        <v>1147</v>
      </c>
      <c r="B1149" s="7" t="s">
        <v>987</v>
      </c>
      <c r="C1149" s="13" t="s">
        <v>1833</v>
      </c>
      <c r="D1149" s="14" t="s">
        <v>24</v>
      </c>
      <c r="E1149" s="15">
        <v>2329</v>
      </c>
      <c r="F1149" s="16">
        <v>629</v>
      </c>
      <c r="G1149" s="17" t="s">
        <v>6</v>
      </c>
      <c r="H1149" s="18">
        <v>1</v>
      </c>
      <c r="I1149" s="19">
        <f>VLOOKUP(B1149,[1]Лист2!$A:$J,10,0)</f>
        <v>1532.66</v>
      </c>
      <c r="J1149" s="29">
        <v>1547.9866000000002</v>
      </c>
      <c r="K1149" s="19">
        <f t="shared" si="17"/>
        <v>-781.01339999999982</v>
      </c>
      <c r="L1149" s="18"/>
      <c r="M1149" s="18"/>
      <c r="N1149" s="18"/>
      <c r="O1149" s="20" t="s">
        <v>1037</v>
      </c>
    </row>
    <row r="1150" spans="1:15" ht="15" x14ac:dyDescent="0.25">
      <c r="A1150">
        <v>1148</v>
      </c>
      <c r="B1150" s="8" t="s">
        <v>987</v>
      </c>
      <c r="C1150" s="21" t="s">
        <v>1833</v>
      </c>
      <c r="D1150" s="22" t="s">
        <v>24</v>
      </c>
      <c r="E1150" s="23">
        <v>2351</v>
      </c>
      <c r="F1150" s="15">
        <v>3845.71</v>
      </c>
      <c r="G1150" s="24" t="s">
        <v>78</v>
      </c>
      <c r="H1150" s="18">
        <v>2</v>
      </c>
      <c r="I1150" s="19">
        <f>VLOOKUP(B1150,[1]Лист2!$A:$J,10,0)</f>
        <v>1532.66</v>
      </c>
      <c r="J1150" s="19">
        <v>3691.8815999999997</v>
      </c>
      <c r="K1150" s="19">
        <f t="shared" si="17"/>
        <v>1340.8815999999997</v>
      </c>
      <c r="L1150" s="18"/>
      <c r="M1150" s="18"/>
      <c r="N1150" s="18"/>
      <c r="O1150" s="20" t="s">
        <v>1037</v>
      </c>
    </row>
    <row r="1151" spans="1:15" ht="15" x14ac:dyDescent="0.25">
      <c r="A1151">
        <v>1149</v>
      </c>
      <c r="B1151" s="7" t="s">
        <v>988</v>
      </c>
      <c r="C1151" s="13" t="s">
        <v>1543</v>
      </c>
      <c r="D1151" s="14" t="s">
        <v>309</v>
      </c>
      <c r="E1151" s="15">
        <v>33165</v>
      </c>
      <c r="F1151" s="16">
        <v>30680</v>
      </c>
      <c r="G1151" s="17" t="s">
        <v>6</v>
      </c>
      <c r="H1151" s="18">
        <v>1</v>
      </c>
      <c r="I1151" s="19">
        <f>VLOOKUP(B1151,[1]Лист2!$A:$J,10,0)</f>
        <v>24949.064999999999</v>
      </c>
      <c r="J1151" s="19">
        <v>29452.799999999999</v>
      </c>
      <c r="K1151" s="19">
        <f t="shared" si="17"/>
        <v>-3712.2000000000007</v>
      </c>
      <c r="L1151" s="18"/>
      <c r="M1151" s="18"/>
      <c r="N1151" s="18"/>
      <c r="O1151" s="20" t="s">
        <v>1037</v>
      </c>
    </row>
    <row r="1152" spans="1:15" ht="15" x14ac:dyDescent="0.25">
      <c r="A1152">
        <v>1150</v>
      </c>
      <c r="B1152" s="8" t="s">
        <v>989</v>
      </c>
      <c r="C1152" s="21" t="s">
        <v>1834</v>
      </c>
      <c r="D1152" s="22" t="s">
        <v>29</v>
      </c>
      <c r="E1152" s="23">
        <v>43145</v>
      </c>
      <c r="F1152" s="15">
        <v>73029</v>
      </c>
      <c r="G1152" s="24" t="s">
        <v>6</v>
      </c>
      <c r="H1152" s="18">
        <v>1</v>
      </c>
      <c r="I1152" s="19"/>
      <c r="J1152" s="19">
        <v>53500</v>
      </c>
      <c r="K1152" s="19">
        <f t="shared" si="17"/>
        <v>10355</v>
      </c>
      <c r="L1152" s="18"/>
      <c r="M1152" s="18"/>
      <c r="N1152" s="18"/>
      <c r="O1152" s="20" t="s">
        <v>1037</v>
      </c>
    </row>
    <row r="1153" spans="1:15" ht="15" x14ac:dyDescent="0.25">
      <c r="A1153">
        <v>1151</v>
      </c>
      <c r="B1153" s="7" t="s">
        <v>990</v>
      </c>
      <c r="C1153" s="13" t="s">
        <v>1835</v>
      </c>
      <c r="D1153" s="14" t="s">
        <v>64</v>
      </c>
      <c r="E1153" s="16">
        <v>10698</v>
      </c>
      <c r="F1153" s="15">
        <v>22096.52</v>
      </c>
      <c r="G1153" s="17" t="s">
        <v>11</v>
      </c>
      <c r="H1153" s="18">
        <v>1</v>
      </c>
      <c r="I1153" s="19">
        <f>VLOOKUP(B1153,[1]Лист2!$A:$J,10,0)</f>
        <v>6227.17</v>
      </c>
      <c r="J1153" s="19">
        <v>21212.659199999998</v>
      </c>
      <c r="K1153" s="19">
        <f t="shared" si="17"/>
        <v>10514.659199999998</v>
      </c>
      <c r="L1153" s="18"/>
      <c r="M1153" s="18"/>
      <c r="N1153" s="18"/>
      <c r="O1153" s="20" t="s">
        <v>1037</v>
      </c>
    </row>
    <row r="1154" spans="1:15" ht="15" x14ac:dyDescent="0.25">
      <c r="A1154">
        <v>1152</v>
      </c>
      <c r="B1154" s="8" t="s">
        <v>990</v>
      </c>
      <c r="C1154" s="21" t="s">
        <v>1835</v>
      </c>
      <c r="D1154" s="22" t="s">
        <v>64</v>
      </c>
      <c r="E1154" s="23">
        <v>10592</v>
      </c>
      <c r="F1154" s="15">
        <v>24294</v>
      </c>
      <c r="G1154" s="24" t="s">
        <v>6</v>
      </c>
      <c r="H1154" s="18">
        <v>1</v>
      </c>
      <c r="I1154" s="19">
        <f>VLOOKUP(B1154,[1]Лист2!$A:$J,10,0)</f>
        <v>6227.17</v>
      </c>
      <c r="J1154" s="19">
        <v>14500.24</v>
      </c>
      <c r="K1154" s="19">
        <f t="shared" si="17"/>
        <v>3908.24</v>
      </c>
      <c r="L1154" s="18"/>
      <c r="M1154" s="18"/>
      <c r="N1154" s="18"/>
      <c r="O1154" s="20" t="s">
        <v>1037</v>
      </c>
    </row>
    <row r="1155" spans="1:15" ht="15" x14ac:dyDescent="0.25">
      <c r="A1155">
        <v>1153</v>
      </c>
      <c r="B1155" s="7" t="s">
        <v>991</v>
      </c>
      <c r="C1155" s="13" t="s">
        <v>1836</v>
      </c>
      <c r="D1155" s="14" t="s">
        <v>64</v>
      </c>
      <c r="E1155" s="16">
        <v>4048</v>
      </c>
      <c r="F1155" s="15">
        <v>11849</v>
      </c>
      <c r="G1155" s="17" t="s">
        <v>6</v>
      </c>
      <c r="H1155" s="18">
        <v>1</v>
      </c>
      <c r="I1155" s="19"/>
      <c r="J1155" s="19">
        <v>5500</v>
      </c>
      <c r="K1155" s="19">
        <f t="shared" ref="K1155:K1207" si="18">J1155-E1155</f>
        <v>1452</v>
      </c>
      <c r="L1155" s="18"/>
      <c r="M1155" s="18"/>
      <c r="N1155" s="18"/>
      <c r="O1155" s="20" t="s">
        <v>1037</v>
      </c>
    </row>
    <row r="1156" spans="1:15" ht="15" x14ac:dyDescent="0.25">
      <c r="A1156">
        <v>1154</v>
      </c>
      <c r="B1156" s="8" t="s">
        <v>992</v>
      </c>
      <c r="C1156" s="21" t="s">
        <v>1837</v>
      </c>
      <c r="D1156" s="22" t="s">
        <v>64</v>
      </c>
      <c r="E1156" s="23">
        <v>12843</v>
      </c>
      <c r="F1156" s="15">
        <v>37323</v>
      </c>
      <c r="G1156" s="24" t="s">
        <v>6</v>
      </c>
      <c r="H1156" s="18">
        <v>1</v>
      </c>
      <c r="I1156" s="19"/>
      <c r="J1156" s="19">
        <v>17500</v>
      </c>
      <c r="K1156" s="19">
        <f t="shared" si="18"/>
        <v>4657</v>
      </c>
      <c r="L1156" s="18"/>
      <c r="M1156" s="18"/>
      <c r="N1156" s="18"/>
      <c r="O1156" s="20" t="s">
        <v>1037</v>
      </c>
    </row>
    <row r="1157" spans="1:15" ht="15" x14ac:dyDescent="0.25">
      <c r="A1157">
        <v>1155</v>
      </c>
      <c r="B1157" s="7" t="s">
        <v>993</v>
      </c>
      <c r="C1157" s="13" t="s">
        <v>1838</v>
      </c>
      <c r="D1157" s="14" t="s">
        <v>64</v>
      </c>
      <c r="E1157" s="16">
        <v>2482</v>
      </c>
      <c r="F1157" s="15">
        <v>5678.87</v>
      </c>
      <c r="G1157" s="17" t="s">
        <v>11</v>
      </c>
      <c r="H1157" s="18">
        <v>1</v>
      </c>
      <c r="I1157" s="19"/>
      <c r="J1157" s="19">
        <v>5451.7151999999996</v>
      </c>
      <c r="K1157" s="19">
        <f t="shared" si="18"/>
        <v>2969.7151999999996</v>
      </c>
      <c r="L1157" s="18"/>
      <c r="M1157" s="18"/>
      <c r="N1157" s="18"/>
      <c r="O1157" s="20" t="s">
        <v>1037</v>
      </c>
    </row>
    <row r="1158" spans="1:15" ht="15" x14ac:dyDescent="0.25">
      <c r="A1158">
        <v>1156</v>
      </c>
      <c r="B1158" s="8" t="s">
        <v>994</v>
      </c>
      <c r="C1158" s="21" t="s">
        <v>1839</v>
      </c>
      <c r="D1158" s="22" t="s">
        <v>24</v>
      </c>
      <c r="E1158" s="15">
        <v>6589</v>
      </c>
      <c r="F1158" s="23">
        <v>779</v>
      </c>
      <c r="G1158" s="24" t="s">
        <v>6</v>
      </c>
      <c r="H1158" s="18">
        <v>1</v>
      </c>
      <c r="I1158" s="19">
        <f>VLOOKUP(B1158,[1]Лист2!$A:$J,10,0)</f>
        <v>710.18499999999995</v>
      </c>
      <c r="J1158" s="19">
        <v>3526</v>
      </c>
      <c r="K1158" s="19">
        <f t="shared" si="18"/>
        <v>-3063</v>
      </c>
      <c r="L1158" s="18"/>
      <c r="M1158" s="18"/>
      <c r="N1158" s="18"/>
      <c r="O1158" s="20" t="s">
        <v>1037</v>
      </c>
    </row>
    <row r="1159" spans="1:15" ht="15" x14ac:dyDescent="0.25">
      <c r="A1159">
        <v>1157</v>
      </c>
      <c r="B1159" s="7" t="s">
        <v>995</v>
      </c>
      <c r="C1159" s="13" t="s">
        <v>1840</v>
      </c>
      <c r="D1159" s="14" t="s">
        <v>343</v>
      </c>
      <c r="E1159" s="16">
        <v>3070</v>
      </c>
      <c r="F1159" s="15">
        <v>9522</v>
      </c>
      <c r="G1159" s="17" t="s">
        <v>6</v>
      </c>
      <c r="H1159" s="18">
        <v>1</v>
      </c>
      <c r="I1159" s="19"/>
      <c r="J1159" s="19">
        <v>4500</v>
      </c>
      <c r="K1159" s="19">
        <f t="shared" si="18"/>
        <v>1430</v>
      </c>
      <c r="L1159" s="18"/>
      <c r="M1159" s="18"/>
      <c r="N1159" s="18"/>
      <c r="O1159" s="20" t="s">
        <v>1037</v>
      </c>
    </row>
    <row r="1160" spans="1:15" ht="15" x14ac:dyDescent="0.25">
      <c r="A1160">
        <v>1158</v>
      </c>
      <c r="B1160" s="8" t="s">
        <v>996</v>
      </c>
      <c r="C1160" s="21" t="s">
        <v>1734</v>
      </c>
      <c r="D1160" s="22" t="s">
        <v>50</v>
      </c>
      <c r="E1160" s="23">
        <v>2959</v>
      </c>
      <c r="F1160" s="15">
        <v>7908.66</v>
      </c>
      <c r="G1160" s="24" t="s">
        <v>11</v>
      </c>
      <c r="H1160" s="18">
        <v>1</v>
      </c>
      <c r="I1160" s="19"/>
      <c r="J1160" s="19">
        <v>7592.3135999999995</v>
      </c>
      <c r="K1160" s="19">
        <f t="shared" si="18"/>
        <v>4633.3135999999995</v>
      </c>
      <c r="L1160" s="18"/>
      <c r="M1160" s="18"/>
      <c r="N1160" s="18"/>
      <c r="O1160" s="20" t="s">
        <v>1037</v>
      </c>
    </row>
    <row r="1161" spans="1:15" ht="15" x14ac:dyDescent="0.25">
      <c r="A1161">
        <v>1159</v>
      </c>
      <c r="B1161" s="7" t="s">
        <v>997</v>
      </c>
      <c r="C1161" s="13" t="s">
        <v>1841</v>
      </c>
      <c r="D1161" s="14" t="s">
        <v>64</v>
      </c>
      <c r="E1161" s="15">
        <v>3853</v>
      </c>
      <c r="F1161" s="16">
        <v>646</v>
      </c>
      <c r="G1161" s="17" t="s">
        <v>6</v>
      </c>
      <c r="H1161" s="18">
        <v>1</v>
      </c>
      <c r="I1161" s="19">
        <f>VLOOKUP(B1161,[1]Лист2!$A:$J,10,0)</f>
        <v>668.81499999999994</v>
      </c>
      <c r="J1161" s="29">
        <v>950</v>
      </c>
      <c r="K1161" s="19">
        <f t="shared" si="18"/>
        <v>-2903</v>
      </c>
      <c r="L1161" s="18"/>
      <c r="M1161" s="18"/>
      <c r="N1161" s="18"/>
      <c r="O1161" s="20" t="s">
        <v>1037</v>
      </c>
    </row>
    <row r="1162" spans="1:15" ht="15" x14ac:dyDescent="0.25">
      <c r="A1162">
        <v>1160</v>
      </c>
      <c r="B1162" s="8" t="s">
        <v>998</v>
      </c>
      <c r="C1162" s="21" t="s">
        <v>1842</v>
      </c>
      <c r="D1162" s="22" t="s">
        <v>346</v>
      </c>
      <c r="E1162" s="15">
        <v>6317</v>
      </c>
      <c r="F1162" s="23">
        <v>5272.56</v>
      </c>
      <c r="G1162" s="24" t="s">
        <v>78</v>
      </c>
      <c r="H1162" s="18">
        <v>1</v>
      </c>
      <c r="I1162" s="19">
        <f>VLOOKUP(B1162,[1]Лист2!$A:$J,10,0)</f>
        <v>5503.1949999999997</v>
      </c>
      <c r="J1162" s="29">
        <v>5558.2269499999993</v>
      </c>
      <c r="K1162" s="19">
        <f t="shared" si="18"/>
        <v>-758.77305000000069</v>
      </c>
      <c r="L1162" s="18"/>
      <c r="M1162" s="18"/>
      <c r="N1162" s="18"/>
      <c r="O1162" s="20" t="s">
        <v>1037</v>
      </c>
    </row>
    <row r="1163" spans="1:15" ht="15" x14ac:dyDescent="0.25">
      <c r="A1163">
        <v>1161</v>
      </c>
      <c r="B1163" s="7" t="s">
        <v>999</v>
      </c>
      <c r="C1163" s="13" t="s">
        <v>1843</v>
      </c>
      <c r="D1163" s="14" t="s">
        <v>50</v>
      </c>
      <c r="E1163" s="15">
        <v>1722</v>
      </c>
      <c r="F1163" s="16">
        <v>80</v>
      </c>
      <c r="G1163" s="17" t="s">
        <v>6</v>
      </c>
      <c r="H1163" s="18">
        <v>1</v>
      </c>
      <c r="I1163" s="19">
        <f>VLOOKUP(B1163,[1]Лист2!$A:$J,10,0)</f>
        <v>72.89</v>
      </c>
      <c r="J1163" s="19">
        <v>777</v>
      </c>
      <c r="K1163" s="19">
        <f t="shared" si="18"/>
        <v>-945</v>
      </c>
      <c r="L1163" s="18"/>
      <c r="M1163" s="18"/>
      <c r="N1163" s="18"/>
      <c r="O1163" s="20" t="s">
        <v>1037</v>
      </c>
    </row>
    <row r="1164" spans="1:15" ht="15" x14ac:dyDescent="0.25">
      <c r="A1164">
        <v>1162</v>
      </c>
      <c r="B1164" s="8" t="s">
        <v>1000</v>
      </c>
      <c r="C1164" s="21" t="s">
        <v>1844</v>
      </c>
      <c r="D1164" s="22" t="s">
        <v>91</v>
      </c>
      <c r="E1164" s="23">
        <v>1110</v>
      </c>
      <c r="F1164" s="15">
        <v>2568</v>
      </c>
      <c r="G1164" s="24" t="s">
        <v>6</v>
      </c>
      <c r="H1164" s="18">
        <v>1</v>
      </c>
      <c r="I1164" s="19"/>
      <c r="J1164" s="19">
        <v>2465.2799999999997</v>
      </c>
      <c r="K1164" s="19">
        <f t="shared" si="18"/>
        <v>1355.2799999999997</v>
      </c>
      <c r="L1164" s="18"/>
      <c r="M1164" s="18"/>
      <c r="N1164" s="18"/>
      <c r="O1164" s="20" t="s">
        <v>1037</v>
      </c>
    </row>
    <row r="1165" spans="1:15" ht="15" x14ac:dyDescent="0.25">
      <c r="A1165">
        <v>1163</v>
      </c>
      <c r="B1165" s="7" t="s">
        <v>1001</v>
      </c>
      <c r="C1165" s="13" t="s">
        <v>1845</v>
      </c>
      <c r="D1165" s="14" t="s">
        <v>91</v>
      </c>
      <c r="E1165" s="16">
        <v>1285</v>
      </c>
      <c r="F1165" s="15">
        <v>2200.71</v>
      </c>
      <c r="G1165" s="17" t="s">
        <v>9</v>
      </c>
      <c r="H1165" s="18">
        <v>1</v>
      </c>
      <c r="I1165" s="19"/>
      <c r="J1165" s="19">
        <v>2112.6815999999999</v>
      </c>
      <c r="K1165" s="19">
        <f t="shared" si="18"/>
        <v>827.68159999999989</v>
      </c>
      <c r="L1165" s="18"/>
      <c r="M1165" s="18"/>
      <c r="N1165" s="18"/>
      <c r="O1165" s="20" t="s">
        <v>1037</v>
      </c>
    </row>
    <row r="1166" spans="1:15" ht="15" x14ac:dyDescent="0.25">
      <c r="A1166">
        <v>1164</v>
      </c>
      <c r="B1166" s="8" t="s">
        <v>429</v>
      </c>
      <c r="C1166" s="21" t="s">
        <v>1376</v>
      </c>
      <c r="D1166" s="22" t="s">
        <v>18</v>
      </c>
      <c r="E1166" s="15">
        <v>82182</v>
      </c>
      <c r="F1166" s="23">
        <v>67166</v>
      </c>
      <c r="G1166" s="24" t="s">
        <v>6</v>
      </c>
      <c r="H1166" s="18">
        <v>1</v>
      </c>
      <c r="I1166" s="19">
        <f>VLOOKUP(B1166,[1]Лист2!$A:$J,10,0)</f>
        <v>67824.145000000004</v>
      </c>
      <c r="J1166" s="29">
        <v>68502.386450000005</v>
      </c>
      <c r="K1166" s="19">
        <f t="shared" si="18"/>
        <v>-13679.613549999995</v>
      </c>
      <c r="L1166" s="18"/>
      <c r="M1166" s="18"/>
      <c r="N1166" s="18"/>
      <c r="O1166" s="20" t="s">
        <v>1037</v>
      </c>
    </row>
    <row r="1167" spans="1:15" ht="15" x14ac:dyDescent="0.25">
      <c r="A1167">
        <v>1165</v>
      </c>
      <c r="B1167" s="7" t="s">
        <v>1002</v>
      </c>
      <c r="C1167" s="13" t="s">
        <v>1846</v>
      </c>
      <c r="D1167" s="14" t="s">
        <v>18</v>
      </c>
      <c r="E1167" s="16">
        <v>5360</v>
      </c>
      <c r="F1167" s="15">
        <v>6613</v>
      </c>
      <c r="G1167" s="17" t="s">
        <v>6</v>
      </c>
      <c r="H1167" s="18">
        <v>1</v>
      </c>
      <c r="I1167" s="19">
        <f>VLOOKUP(B1167,[1]Лист2!$A:$J,10,0)</f>
        <v>757.46500000000003</v>
      </c>
      <c r="J1167" s="19">
        <v>6348.48</v>
      </c>
      <c r="K1167" s="19">
        <f t="shared" si="18"/>
        <v>988.47999999999956</v>
      </c>
      <c r="L1167" s="18"/>
      <c r="M1167" s="18"/>
      <c r="N1167" s="18"/>
      <c r="O1167" s="20" t="s">
        <v>1037</v>
      </c>
    </row>
    <row r="1168" spans="1:15" ht="15" x14ac:dyDescent="0.25">
      <c r="A1168">
        <v>1166</v>
      </c>
      <c r="B1168" s="8" t="s">
        <v>1003</v>
      </c>
      <c r="C1168" s="21" t="s">
        <v>1847</v>
      </c>
      <c r="D1168" s="22" t="s">
        <v>18</v>
      </c>
      <c r="E1168" s="15">
        <v>2048</v>
      </c>
      <c r="F1168" s="23">
        <v>1575</v>
      </c>
      <c r="G1168" s="24" t="s">
        <v>6</v>
      </c>
      <c r="H1168" s="18">
        <v>2</v>
      </c>
      <c r="I1168" s="19">
        <f>VLOOKUP(B1168,[1]Лист2!$A:$J,10,0)</f>
        <v>1636.085</v>
      </c>
      <c r="J1168" s="29">
        <v>1652.4458500000001</v>
      </c>
      <c r="K1168" s="19">
        <f t="shared" si="18"/>
        <v>-395.55414999999994</v>
      </c>
      <c r="L1168" s="18"/>
      <c r="M1168" s="18"/>
      <c r="N1168" s="18"/>
      <c r="O1168" s="20" t="s">
        <v>1037</v>
      </c>
    </row>
    <row r="1169" spans="1:15" ht="15" x14ac:dyDescent="0.25">
      <c r="A1169">
        <v>1167</v>
      </c>
      <c r="B1169" s="7" t="s">
        <v>1004</v>
      </c>
      <c r="C1169" s="13" t="s">
        <v>1848</v>
      </c>
      <c r="D1169" s="14" t="s">
        <v>18</v>
      </c>
      <c r="E1169" s="15">
        <v>4158</v>
      </c>
      <c r="F1169" s="16">
        <v>1384</v>
      </c>
      <c r="G1169" s="17" t="s">
        <v>6</v>
      </c>
      <c r="H1169" s="18">
        <v>1</v>
      </c>
      <c r="I1169" s="19">
        <f>VLOOKUP(B1169,[1]Лист2!$A:$J,10,0)</f>
        <v>1388.85</v>
      </c>
      <c r="J1169" s="29">
        <v>2450</v>
      </c>
      <c r="K1169" s="19">
        <f t="shared" si="18"/>
        <v>-1708</v>
      </c>
      <c r="L1169" s="18"/>
      <c r="M1169" s="18"/>
      <c r="N1169" s="18"/>
      <c r="O1169" s="20" t="s">
        <v>1037</v>
      </c>
    </row>
    <row r="1170" spans="1:15" ht="15" x14ac:dyDescent="0.25">
      <c r="A1170">
        <v>1168</v>
      </c>
      <c r="B1170" s="8" t="s">
        <v>1004</v>
      </c>
      <c r="C1170" s="21" t="s">
        <v>1848</v>
      </c>
      <c r="D1170" s="22" t="s">
        <v>18</v>
      </c>
      <c r="E1170" s="15">
        <v>3185</v>
      </c>
      <c r="F1170" s="23">
        <v>1384</v>
      </c>
      <c r="G1170" s="24" t="s">
        <v>6</v>
      </c>
      <c r="H1170" s="18">
        <v>3</v>
      </c>
      <c r="I1170" s="19">
        <f>VLOOKUP(B1170,[1]Лист2!$A:$J,10,0)</f>
        <v>1388.85</v>
      </c>
      <c r="J1170" s="29">
        <v>1402.7384999999999</v>
      </c>
      <c r="K1170" s="19">
        <f t="shared" si="18"/>
        <v>-1782.2615000000001</v>
      </c>
      <c r="L1170" s="18"/>
      <c r="M1170" s="18"/>
      <c r="N1170" s="18"/>
      <c r="O1170" s="20" t="s">
        <v>1037</v>
      </c>
    </row>
    <row r="1171" spans="1:15" ht="15" x14ac:dyDescent="0.25">
      <c r="A1171">
        <v>1169</v>
      </c>
      <c r="B1171" s="7" t="s">
        <v>1005</v>
      </c>
      <c r="C1171" s="13" t="s">
        <v>1399</v>
      </c>
      <c r="D1171" s="14" t="s">
        <v>18</v>
      </c>
      <c r="E1171" s="16">
        <v>3538</v>
      </c>
      <c r="F1171" s="15">
        <v>9906</v>
      </c>
      <c r="G1171" s="17" t="s">
        <v>6</v>
      </c>
      <c r="H1171" s="18">
        <v>1</v>
      </c>
      <c r="I1171" s="19"/>
      <c r="J1171" s="19">
        <v>4500</v>
      </c>
      <c r="K1171" s="19">
        <f t="shared" si="18"/>
        <v>962</v>
      </c>
      <c r="L1171" s="18"/>
      <c r="M1171" s="18"/>
      <c r="N1171" s="18"/>
      <c r="O1171" s="20" t="s">
        <v>1037</v>
      </c>
    </row>
    <row r="1172" spans="1:15" ht="15" x14ac:dyDescent="0.25">
      <c r="A1172">
        <v>1170</v>
      </c>
      <c r="B1172" s="8" t="s">
        <v>1006</v>
      </c>
      <c r="C1172" s="21" t="s">
        <v>1849</v>
      </c>
      <c r="D1172" s="22" t="s">
        <v>8</v>
      </c>
      <c r="E1172" s="23">
        <v>2894</v>
      </c>
      <c r="F1172" s="15">
        <v>3697</v>
      </c>
      <c r="G1172" s="24" t="s">
        <v>6</v>
      </c>
      <c r="H1172" s="18">
        <v>1</v>
      </c>
      <c r="I1172" s="19">
        <f>VLOOKUP(B1172,[1]Лист2!$A:$J,10,0)</f>
        <v>1820.28</v>
      </c>
      <c r="J1172" s="19">
        <v>3549.12</v>
      </c>
      <c r="K1172" s="19">
        <f t="shared" si="18"/>
        <v>655.11999999999989</v>
      </c>
      <c r="L1172" s="18"/>
      <c r="M1172" s="18"/>
      <c r="N1172" s="18"/>
      <c r="O1172" s="20" t="s">
        <v>1037</v>
      </c>
    </row>
    <row r="1173" spans="1:15" ht="15" x14ac:dyDescent="0.25">
      <c r="A1173">
        <v>1171</v>
      </c>
      <c r="B1173" s="7" t="s">
        <v>1007</v>
      </c>
      <c r="C1173" s="13" t="s">
        <v>1358</v>
      </c>
      <c r="D1173" s="14" t="s">
        <v>18</v>
      </c>
      <c r="E1173" s="16">
        <v>9545</v>
      </c>
      <c r="F1173" s="15">
        <v>21115</v>
      </c>
      <c r="G1173" s="17" t="s">
        <v>6</v>
      </c>
      <c r="H1173" s="18">
        <v>1</v>
      </c>
      <c r="I1173" s="19"/>
      <c r="J1173" s="19">
        <v>12750</v>
      </c>
      <c r="K1173" s="19">
        <f t="shared" si="18"/>
        <v>3205</v>
      </c>
      <c r="L1173" s="18"/>
      <c r="M1173" s="18"/>
      <c r="N1173" s="18"/>
      <c r="O1173" s="20" t="s">
        <v>1037</v>
      </c>
    </row>
    <row r="1174" spans="1:15" ht="15" x14ac:dyDescent="0.25">
      <c r="A1174">
        <v>1172</v>
      </c>
      <c r="B1174" s="8" t="s">
        <v>1008</v>
      </c>
      <c r="C1174" s="21" t="s">
        <v>1850</v>
      </c>
      <c r="D1174" s="22" t="s">
        <v>16</v>
      </c>
      <c r="E1174" s="23">
        <v>3881</v>
      </c>
      <c r="F1174" s="15">
        <v>20074.34</v>
      </c>
      <c r="G1174" s="24" t="s">
        <v>11</v>
      </c>
      <c r="H1174" s="18">
        <v>1</v>
      </c>
      <c r="I1174" s="19"/>
      <c r="J1174" s="19">
        <v>14500</v>
      </c>
      <c r="K1174" s="19">
        <f t="shared" si="18"/>
        <v>10619</v>
      </c>
      <c r="L1174" s="18"/>
      <c r="M1174" s="18"/>
      <c r="N1174" s="18"/>
      <c r="O1174" s="20" t="s">
        <v>1037</v>
      </c>
    </row>
    <row r="1175" spans="1:15" ht="15" x14ac:dyDescent="0.25">
      <c r="A1175">
        <v>1173</v>
      </c>
      <c r="B1175" s="7" t="s">
        <v>1009</v>
      </c>
      <c r="C1175" s="13" t="s">
        <v>1851</v>
      </c>
      <c r="D1175" s="14" t="s">
        <v>16</v>
      </c>
      <c r="E1175" s="16">
        <v>11957</v>
      </c>
      <c r="F1175" s="15">
        <v>14886</v>
      </c>
      <c r="G1175" s="17" t="s">
        <v>6</v>
      </c>
      <c r="H1175" s="18">
        <v>1</v>
      </c>
      <c r="I1175" s="19">
        <f>VLOOKUP(B1175,[1]Лист2!$A:$J,10,0)</f>
        <v>11118.68</v>
      </c>
      <c r="J1175" s="19">
        <v>14290.56</v>
      </c>
      <c r="K1175" s="19">
        <f t="shared" si="18"/>
        <v>2333.5599999999995</v>
      </c>
      <c r="L1175" s="18"/>
      <c r="M1175" s="18"/>
      <c r="N1175" s="18"/>
      <c r="O1175" s="20" t="s">
        <v>1037</v>
      </c>
    </row>
    <row r="1176" spans="1:15" ht="15" x14ac:dyDescent="0.25">
      <c r="A1176">
        <v>1174</v>
      </c>
      <c r="B1176" s="8" t="s">
        <v>1009</v>
      </c>
      <c r="C1176" s="21" t="s">
        <v>1851</v>
      </c>
      <c r="D1176" s="22" t="s">
        <v>16</v>
      </c>
      <c r="E1176" s="23">
        <v>11957</v>
      </c>
      <c r="F1176" s="15">
        <v>14886</v>
      </c>
      <c r="G1176" s="24" t="s">
        <v>6</v>
      </c>
      <c r="H1176" s="18">
        <v>1</v>
      </c>
      <c r="I1176" s="19">
        <f>VLOOKUP(B1176,[1]Лист2!$A:$J,10,0)</f>
        <v>11118.68</v>
      </c>
      <c r="J1176" s="19">
        <v>14290.56</v>
      </c>
      <c r="K1176" s="19">
        <f t="shared" si="18"/>
        <v>2333.5599999999995</v>
      </c>
      <c r="L1176" s="18"/>
      <c r="M1176" s="18"/>
      <c r="N1176" s="18"/>
      <c r="O1176" s="20" t="s">
        <v>1037</v>
      </c>
    </row>
    <row r="1177" spans="1:15" ht="15" x14ac:dyDescent="0.25">
      <c r="A1177">
        <v>1175</v>
      </c>
      <c r="B1177" s="7" t="s">
        <v>1010</v>
      </c>
      <c r="C1177" s="13" t="s">
        <v>1852</v>
      </c>
      <c r="D1177" s="14" t="s">
        <v>152</v>
      </c>
      <c r="E1177" s="16">
        <v>2383</v>
      </c>
      <c r="F1177" s="15">
        <v>14210</v>
      </c>
      <c r="G1177" s="17" t="s">
        <v>6</v>
      </c>
      <c r="H1177" s="18">
        <v>1</v>
      </c>
      <c r="I1177" s="19"/>
      <c r="J1177" s="19">
        <v>2550</v>
      </c>
      <c r="K1177" s="19">
        <f t="shared" si="18"/>
        <v>167</v>
      </c>
      <c r="L1177" s="18"/>
      <c r="M1177" s="18"/>
      <c r="N1177" s="18"/>
      <c r="O1177" s="20" t="s">
        <v>1037</v>
      </c>
    </row>
    <row r="1178" spans="1:15" ht="15" x14ac:dyDescent="0.25">
      <c r="A1178">
        <v>1176</v>
      </c>
      <c r="B1178" s="8" t="s">
        <v>1011</v>
      </c>
      <c r="C1178" s="21" t="s">
        <v>1853</v>
      </c>
      <c r="D1178" s="22" t="s">
        <v>24</v>
      </c>
      <c r="E1178" s="15">
        <v>1873</v>
      </c>
      <c r="F1178" s="23">
        <v>247</v>
      </c>
      <c r="G1178" s="24" t="s">
        <v>6</v>
      </c>
      <c r="H1178" s="18">
        <v>1</v>
      </c>
      <c r="I1178" s="19">
        <f>VLOOKUP(B1178,[1]Лист2!$A:$J,10,0)</f>
        <v>135.93</v>
      </c>
      <c r="J1178" s="19">
        <v>921</v>
      </c>
      <c r="K1178" s="19">
        <f t="shared" si="18"/>
        <v>-952</v>
      </c>
      <c r="L1178" s="18"/>
      <c r="M1178" s="18"/>
      <c r="N1178" s="18"/>
      <c r="O1178" s="20" t="s">
        <v>1037</v>
      </c>
    </row>
    <row r="1179" spans="1:15" ht="15" x14ac:dyDescent="0.25">
      <c r="A1179">
        <v>1177</v>
      </c>
      <c r="B1179" s="7" t="s">
        <v>1012</v>
      </c>
      <c r="C1179" s="13" t="s">
        <v>1854</v>
      </c>
      <c r="D1179" s="14" t="s">
        <v>24</v>
      </c>
      <c r="E1179" s="15">
        <v>2164</v>
      </c>
      <c r="F1179" s="16">
        <v>770</v>
      </c>
      <c r="G1179" s="17" t="s">
        <v>6</v>
      </c>
      <c r="H1179" s="18">
        <v>1</v>
      </c>
      <c r="I1179" s="19">
        <f>VLOOKUP(B1179,[1]Лист2!$A:$J,10,0)</f>
        <v>759.43499999999995</v>
      </c>
      <c r="J1179" s="29">
        <v>767.02934999999991</v>
      </c>
      <c r="K1179" s="19">
        <f t="shared" si="18"/>
        <v>-1396.9706500000002</v>
      </c>
      <c r="L1179" s="18"/>
      <c r="M1179" s="18"/>
      <c r="N1179" s="18"/>
      <c r="O1179" s="20" t="s">
        <v>1037</v>
      </c>
    </row>
    <row r="1180" spans="1:15" ht="15" x14ac:dyDescent="0.25">
      <c r="A1180">
        <v>1178</v>
      </c>
      <c r="B1180" s="8" t="s">
        <v>1013</v>
      </c>
      <c r="C1180" s="21" t="s">
        <v>1122</v>
      </c>
      <c r="D1180" s="22" t="s">
        <v>16</v>
      </c>
      <c r="E1180" s="23">
        <v>2050</v>
      </c>
      <c r="F1180" s="15">
        <v>4600.8100000000004</v>
      </c>
      <c r="G1180" s="24" t="s">
        <v>11</v>
      </c>
      <c r="H1180" s="18">
        <v>1</v>
      </c>
      <c r="I1180" s="19"/>
      <c r="J1180" s="19">
        <v>4416.7776000000003</v>
      </c>
      <c r="K1180" s="19">
        <f t="shared" si="18"/>
        <v>2366.7776000000003</v>
      </c>
      <c r="L1180" s="18"/>
      <c r="M1180" s="18"/>
      <c r="N1180" s="18"/>
      <c r="O1180" s="20" t="s">
        <v>1037</v>
      </c>
    </row>
    <row r="1181" spans="1:15" ht="15" x14ac:dyDescent="0.25">
      <c r="A1181">
        <v>1179</v>
      </c>
      <c r="B1181" s="7" t="s">
        <v>1014</v>
      </c>
      <c r="C1181" s="13" t="s">
        <v>1855</v>
      </c>
      <c r="D1181" s="14" t="s">
        <v>24</v>
      </c>
      <c r="E1181" s="16">
        <v>2647</v>
      </c>
      <c r="F1181" s="15">
        <v>8500.89</v>
      </c>
      <c r="G1181" s="17" t="s">
        <v>11</v>
      </c>
      <c r="H1181" s="18">
        <v>1</v>
      </c>
      <c r="I1181" s="19"/>
      <c r="J1181" s="19">
        <v>3526</v>
      </c>
      <c r="K1181" s="19">
        <f t="shared" si="18"/>
        <v>879</v>
      </c>
      <c r="L1181" s="18"/>
      <c r="M1181" s="18"/>
      <c r="N1181" s="18"/>
      <c r="O1181" s="20" t="s">
        <v>1037</v>
      </c>
    </row>
    <row r="1182" spans="1:15" ht="15" x14ac:dyDescent="0.25">
      <c r="A1182">
        <v>1180</v>
      </c>
      <c r="B1182" s="8" t="s">
        <v>1015</v>
      </c>
      <c r="C1182" s="21" t="s">
        <v>1856</v>
      </c>
      <c r="D1182" s="22" t="s">
        <v>16</v>
      </c>
      <c r="E1182" s="15">
        <v>1425</v>
      </c>
      <c r="F1182" s="23">
        <v>1180</v>
      </c>
      <c r="G1182" s="24" t="s">
        <v>6</v>
      </c>
      <c r="H1182" s="18">
        <v>1</v>
      </c>
      <c r="I1182" s="19"/>
      <c r="J1182" s="19">
        <v>1439.25</v>
      </c>
      <c r="K1182" s="19">
        <f t="shared" si="18"/>
        <v>14.25</v>
      </c>
      <c r="L1182" s="18"/>
      <c r="M1182" s="18"/>
      <c r="N1182" s="18"/>
      <c r="O1182" s="20" t="s">
        <v>1037</v>
      </c>
    </row>
    <row r="1183" spans="1:15" ht="15" x14ac:dyDescent="0.25">
      <c r="A1183">
        <v>1181</v>
      </c>
      <c r="B1183" s="7" t="s">
        <v>1016</v>
      </c>
      <c r="C1183" s="13" t="s">
        <v>1856</v>
      </c>
      <c r="D1183" s="14" t="s">
        <v>16</v>
      </c>
      <c r="E1183" s="16">
        <v>1478</v>
      </c>
      <c r="F1183" s="15">
        <v>1607</v>
      </c>
      <c r="G1183" s="17" t="s">
        <v>6</v>
      </c>
      <c r="H1183" s="18">
        <v>1</v>
      </c>
      <c r="I1183" s="19"/>
      <c r="J1183" s="19">
        <v>1542.72</v>
      </c>
      <c r="K1183" s="19">
        <f t="shared" si="18"/>
        <v>64.720000000000027</v>
      </c>
      <c r="L1183" s="18"/>
      <c r="M1183" s="18"/>
      <c r="N1183" s="18"/>
      <c r="O1183" s="20" t="s">
        <v>1037</v>
      </c>
    </row>
    <row r="1184" spans="1:15" ht="15" x14ac:dyDescent="0.25">
      <c r="A1184">
        <v>1182</v>
      </c>
      <c r="B1184" s="8" t="s">
        <v>1017</v>
      </c>
      <c r="C1184" s="21" t="s">
        <v>1857</v>
      </c>
      <c r="D1184" s="22" t="s">
        <v>16</v>
      </c>
      <c r="E1184" s="23">
        <v>23789</v>
      </c>
      <c r="F1184" s="15">
        <v>45653</v>
      </c>
      <c r="G1184" s="24" t="s">
        <v>6</v>
      </c>
      <c r="H1184" s="18">
        <v>1</v>
      </c>
      <c r="I1184" s="19"/>
      <c r="J1184" s="19">
        <v>34500</v>
      </c>
      <c r="K1184" s="19">
        <f t="shared" si="18"/>
        <v>10711</v>
      </c>
      <c r="L1184" s="18"/>
      <c r="M1184" s="18"/>
      <c r="N1184" s="18"/>
      <c r="O1184" s="20" t="s">
        <v>1037</v>
      </c>
    </row>
    <row r="1185" spans="1:15" ht="15" x14ac:dyDescent="0.25">
      <c r="A1185">
        <v>1183</v>
      </c>
      <c r="B1185" s="7" t="s">
        <v>1018</v>
      </c>
      <c r="C1185" s="13" t="s">
        <v>1858</v>
      </c>
      <c r="D1185" s="14" t="s">
        <v>16</v>
      </c>
      <c r="E1185" s="16">
        <v>2495</v>
      </c>
      <c r="F1185" s="15">
        <v>3071</v>
      </c>
      <c r="G1185" s="17" t="s">
        <v>6</v>
      </c>
      <c r="H1185" s="18">
        <v>1</v>
      </c>
      <c r="I1185" s="19">
        <f>VLOOKUP(B1185,[1]Лист2!$A:$J,10,0)</f>
        <v>1976.895</v>
      </c>
      <c r="J1185" s="19">
        <v>2948.16</v>
      </c>
      <c r="K1185" s="19">
        <f t="shared" si="18"/>
        <v>453.15999999999985</v>
      </c>
      <c r="L1185" s="18"/>
      <c r="M1185" s="18"/>
      <c r="N1185" s="18"/>
      <c r="O1185" s="20" t="s">
        <v>1037</v>
      </c>
    </row>
    <row r="1186" spans="1:15" ht="15" x14ac:dyDescent="0.25">
      <c r="A1186">
        <v>1184</v>
      </c>
      <c r="B1186" s="8" t="s">
        <v>760</v>
      </c>
      <c r="C1186" s="21" t="s">
        <v>1178</v>
      </c>
      <c r="D1186" s="22" t="s">
        <v>16</v>
      </c>
      <c r="E1186" s="23">
        <v>1479</v>
      </c>
      <c r="F1186" s="15">
        <v>1535</v>
      </c>
      <c r="G1186" s="24" t="s">
        <v>6</v>
      </c>
      <c r="H1186" s="18">
        <v>2</v>
      </c>
      <c r="I1186" s="19">
        <f>VLOOKUP(B1186,[1]Лист2!$A:$J,10,0)</f>
        <v>831.34</v>
      </c>
      <c r="J1186" s="19">
        <v>1473.6</v>
      </c>
      <c r="K1186" s="19">
        <f t="shared" si="18"/>
        <v>-5.4000000000000909</v>
      </c>
      <c r="L1186" s="18"/>
      <c r="M1186" s="18"/>
      <c r="N1186" s="18"/>
      <c r="O1186" s="20" t="s">
        <v>1037</v>
      </c>
    </row>
    <row r="1187" spans="1:15" ht="15" x14ac:dyDescent="0.25">
      <c r="A1187">
        <v>1185</v>
      </c>
      <c r="B1187" s="7" t="s">
        <v>1019</v>
      </c>
      <c r="C1187" s="13" t="s">
        <v>1242</v>
      </c>
      <c r="D1187" s="14" t="s">
        <v>16</v>
      </c>
      <c r="E1187" s="15">
        <v>26425</v>
      </c>
      <c r="F1187" s="16">
        <v>21872</v>
      </c>
      <c r="G1187" s="17" t="s">
        <v>6</v>
      </c>
      <c r="H1187" s="18">
        <v>1</v>
      </c>
      <c r="I1187" s="19">
        <f>VLOOKUP(B1187,[1]Лист2!$A:$J,10,0)</f>
        <v>21769.485000000001</v>
      </c>
      <c r="J1187" s="19">
        <v>21987.17985</v>
      </c>
      <c r="K1187" s="19">
        <f t="shared" si="18"/>
        <v>-4437.8201499999996</v>
      </c>
      <c r="L1187" s="18"/>
      <c r="M1187" s="18"/>
      <c r="N1187" s="18"/>
      <c r="O1187" s="20" t="s">
        <v>1037</v>
      </c>
    </row>
    <row r="1188" spans="1:15" ht="15" x14ac:dyDescent="0.25">
      <c r="A1188">
        <v>1186</v>
      </c>
      <c r="B1188" s="8" t="s">
        <v>1020</v>
      </c>
      <c r="C1188" s="21" t="s">
        <v>1540</v>
      </c>
      <c r="D1188" s="22" t="s">
        <v>16</v>
      </c>
      <c r="E1188" s="15">
        <v>6713</v>
      </c>
      <c r="F1188" s="23">
        <v>3054</v>
      </c>
      <c r="G1188" s="24" t="s">
        <v>6</v>
      </c>
      <c r="H1188" s="18">
        <v>1</v>
      </c>
      <c r="I1188" s="19"/>
      <c r="J1188" s="19">
        <v>6780.13</v>
      </c>
      <c r="K1188" s="19">
        <f t="shared" si="18"/>
        <v>67.130000000000109</v>
      </c>
      <c r="L1188" s="18"/>
      <c r="M1188" s="18"/>
      <c r="N1188" s="18"/>
      <c r="O1188" s="20" t="s">
        <v>1037</v>
      </c>
    </row>
    <row r="1189" spans="1:15" ht="15" x14ac:dyDescent="0.25">
      <c r="A1189">
        <v>1187</v>
      </c>
      <c r="B1189" s="7" t="s">
        <v>1020</v>
      </c>
      <c r="C1189" s="13" t="s">
        <v>1540</v>
      </c>
      <c r="D1189" s="14" t="s">
        <v>16</v>
      </c>
      <c r="E1189" s="15">
        <v>5504</v>
      </c>
      <c r="F1189" s="16">
        <v>3054</v>
      </c>
      <c r="G1189" s="17" t="s">
        <v>6</v>
      </c>
      <c r="H1189" s="18">
        <v>1</v>
      </c>
      <c r="I1189" s="19"/>
      <c r="J1189" s="19">
        <v>5559.04</v>
      </c>
      <c r="K1189" s="19">
        <f t="shared" si="18"/>
        <v>55.039999999999964</v>
      </c>
      <c r="L1189" s="18"/>
      <c r="M1189" s="18"/>
      <c r="N1189" s="18"/>
      <c r="O1189" s="20" t="s">
        <v>1037</v>
      </c>
    </row>
    <row r="1190" spans="1:15" ht="15" x14ac:dyDescent="0.25">
      <c r="A1190">
        <v>1188</v>
      </c>
      <c r="B1190" s="8" t="s">
        <v>1020</v>
      </c>
      <c r="C1190" s="21" t="s">
        <v>1540</v>
      </c>
      <c r="D1190" s="22" t="s">
        <v>16</v>
      </c>
      <c r="E1190" s="15">
        <v>5504</v>
      </c>
      <c r="F1190" s="23">
        <v>3054</v>
      </c>
      <c r="G1190" s="24" t="s">
        <v>6</v>
      </c>
      <c r="H1190" s="18">
        <v>1</v>
      </c>
      <c r="I1190" s="19"/>
      <c r="J1190" s="19">
        <v>5559.04</v>
      </c>
      <c r="K1190" s="19">
        <f t="shared" si="18"/>
        <v>55.039999999999964</v>
      </c>
      <c r="L1190" s="18"/>
      <c r="M1190" s="18"/>
      <c r="N1190" s="18"/>
      <c r="O1190" s="20" t="s">
        <v>1037</v>
      </c>
    </row>
    <row r="1191" spans="1:15" ht="15" x14ac:dyDescent="0.25">
      <c r="A1191">
        <v>1189</v>
      </c>
      <c r="B1191" s="7" t="s">
        <v>802</v>
      </c>
      <c r="C1191" s="13" t="s">
        <v>1681</v>
      </c>
      <c r="D1191" s="14" t="s">
        <v>8</v>
      </c>
      <c r="E1191" s="16">
        <v>19305</v>
      </c>
      <c r="F1191" s="15">
        <v>40156</v>
      </c>
      <c r="G1191" s="17" t="s">
        <v>6</v>
      </c>
      <c r="H1191" s="18">
        <v>1</v>
      </c>
      <c r="I1191" s="19">
        <f>VLOOKUP(B1191,[1]Лист2!$A:$J,10,0)</f>
        <v>35182.229999999996</v>
      </c>
      <c r="J1191" s="19">
        <v>31500</v>
      </c>
      <c r="K1191" s="19">
        <f t="shared" si="18"/>
        <v>12195</v>
      </c>
      <c r="L1191" s="18"/>
      <c r="M1191" s="18"/>
      <c r="N1191" s="18"/>
      <c r="O1191" s="20" t="s">
        <v>1037</v>
      </c>
    </row>
    <row r="1192" spans="1:15" ht="15" x14ac:dyDescent="0.25">
      <c r="A1192">
        <v>1190</v>
      </c>
      <c r="B1192" s="8" t="s">
        <v>802</v>
      </c>
      <c r="C1192" s="21" t="s">
        <v>1681</v>
      </c>
      <c r="D1192" s="22" t="s">
        <v>8</v>
      </c>
      <c r="E1192" s="23">
        <v>18221</v>
      </c>
      <c r="F1192" s="15">
        <v>40156</v>
      </c>
      <c r="G1192" s="24" t="s">
        <v>6</v>
      </c>
      <c r="H1192" s="18">
        <v>1</v>
      </c>
      <c r="I1192" s="19">
        <f>VLOOKUP(B1192,[1]Лист2!$A:$J,10,0)</f>
        <v>35182.229999999996</v>
      </c>
      <c r="J1192" s="19">
        <v>31500</v>
      </c>
      <c r="K1192" s="19">
        <f t="shared" si="18"/>
        <v>13279</v>
      </c>
      <c r="L1192" s="18"/>
      <c r="M1192" s="18"/>
      <c r="N1192" s="18"/>
      <c r="O1192" s="20" t="s">
        <v>1037</v>
      </c>
    </row>
    <row r="1193" spans="1:15" ht="15" x14ac:dyDescent="0.25">
      <c r="A1193">
        <v>1191</v>
      </c>
      <c r="B1193" s="7" t="s">
        <v>824</v>
      </c>
      <c r="C1193" s="13" t="s">
        <v>1695</v>
      </c>
      <c r="D1193" s="14" t="s">
        <v>16</v>
      </c>
      <c r="E1193" s="15">
        <v>10620</v>
      </c>
      <c r="F1193" s="16">
        <v>6688</v>
      </c>
      <c r="G1193" s="17" t="s">
        <v>6</v>
      </c>
      <c r="H1193" s="18">
        <v>1</v>
      </c>
      <c r="I1193" s="19">
        <f>VLOOKUP(B1193,[1]Лист2!$A:$J,10,0)</f>
        <v>6755.13</v>
      </c>
      <c r="J1193" s="29">
        <v>6822.6813000000002</v>
      </c>
      <c r="K1193" s="19">
        <f t="shared" si="18"/>
        <v>-3797.3186999999998</v>
      </c>
      <c r="L1193" s="18"/>
      <c r="M1193" s="18"/>
      <c r="N1193" s="18"/>
      <c r="O1193" s="20" t="s">
        <v>1037</v>
      </c>
    </row>
    <row r="1194" spans="1:15" ht="15" x14ac:dyDescent="0.25">
      <c r="A1194">
        <v>1192</v>
      </c>
      <c r="B1194" s="8" t="s">
        <v>824</v>
      </c>
      <c r="C1194" s="21" t="s">
        <v>1695</v>
      </c>
      <c r="D1194" s="22" t="s">
        <v>16</v>
      </c>
      <c r="E1194" s="15">
        <v>10620</v>
      </c>
      <c r="F1194" s="23">
        <v>6688</v>
      </c>
      <c r="G1194" s="24" t="s">
        <v>6</v>
      </c>
      <c r="H1194" s="18">
        <v>1</v>
      </c>
      <c r="I1194" s="19">
        <f>VLOOKUP(B1194,[1]Лист2!$A:$J,10,0)</f>
        <v>6755.13</v>
      </c>
      <c r="J1194" s="29">
        <v>6822.6813000000002</v>
      </c>
      <c r="K1194" s="19">
        <f t="shared" si="18"/>
        <v>-3797.3186999999998</v>
      </c>
      <c r="L1194" s="18"/>
      <c r="M1194" s="18"/>
      <c r="N1194" s="18"/>
      <c r="O1194" s="20" t="s">
        <v>1037</v>
      </c>
    </row>
    <row r="1195" spans="1:15" ht="15" x14ac:dyDescent="0.25">
      <c r="A1195">
        <v>1193</v>
      </c>
      <c r="B1195" s="7" t="s">
        <v>1021</v>
      </c>
      <c r="C1195" s="13" t="s">
        <v>1859</v>
      </c>
      <c r="D1195" s="14" t="s">
        <v>16</v>
      </c>
      <c r="E1195" s="15">
        <v>9395</v>
      </c>
      <c r="F1195" s="16">
        <v>9016</v>
      </c>
      <c r="G1195" s="17" t="s">
        <v>6</v>
      </c>
      <c r="H1195" s="18">
        <v>1</v>
      </c>
      <c r="I1195" s="19"/>
      <c r="J1195" s="29">
        <v>9488.9500000000007</v>
      </c>
      <c r="K1195" s="19">
        <f t="shared" si="18"/>
        <v>93.950000000000728</v>
      </c>
      <c r="L1195" s="18"/>
      <c r="M1195" s="18"/>
      <c r="N1195" s="18"/>
      <c r="O1195" s="20" t="s">
        <v>1037</v>
      </c>
    </row>
    <row r="1196" spans="1:15" ht="15" x14ac:dyDescent="0.25">
      <c r="A1196">
        <v>1194</v>
      </c>
      <c r="B1196" s="8" t="s">
        <v>1022</v>
      </c>
      <c r="C1196" s="21" t="s">
        <v>1860</v>
      </c>
      <c r="D1196" s="22" t="s">
        <v>16</v>
      </c>
      <c r="E1196" s="15">
        <v>10661</v>
      </c>
      <c r="F1196" s="23">
        <v>7195.67</v>
      </c>
      <c r="G1196" s="24" t="s">
        <v>78</v>
      </c>
      <c r="H1196" s="18">
        <v>1</v>
      </c>
      <c r="I1196" s="19">
        <f>VLOOKUP(B1196,[1]Лист2!$A:$J,10,0)</f>
        <v>6855.5999999999995</v>
      </c>
      <c r="J1196" s="29">
        <v>6907.8432000000003</v>
      </c>
      <c r="K1196" s="19">
        <f t="shared" si="18"/>
        <v>-3753.1567999999997</v>
      </c>
      <c r="L1196" s="18"/>
      <c r="M1196" s="18"/>
      <c r="N1196" s="18"/>
      <c r="O1196" s="20" t="s">
        <v>1037</v>
      </c>
    </row>
    <row r="1197" spans="1:15" ht="15" x14ac:dyDescent="0.25">
      <c r="A1197">
        <v>1195</v>
      </c>
      <c r="B1197" s="7" t="s">
        <v>1023</v>
      </c>
      <c r="C1197" s="13" t="s">
        <v>1490</v>
      </c>
      <c r="D1197" s="14" t="s">
        <v>16</v>
      </c>
      <c r="E1197" s="16">
        <v>18106</v>
      </c>
      <c r="F1197" s="15">
        <v>33117.24</v>
      </c>
      <c r="G1197" s="17" t="s">
        <v>11</v>
      </c>
      <c r="H1197" s="18">
        <v>1</v>
      </c>
      <c r="I1197" s="19"/>
      <c r="J1197" s="29">
        <v>24500</v>
      </c>
      <c r="K1197" s="19">
        <f t="shared" si="18"/>
        <v>6394</v>
      </c>
      <c r="L1197" s="18"/>
      <c r="M1197" s="18"/>
      <c r="N1197" s="18"/>
      <c r="O1197" s="20" t="s">
        <v>1037</v>
      </c>
    </row>
    <row r="1198" spans="1:15" ht="15" x14ac:dyDescent="0.25">
      <c r="A1198">
        <v>1196</v>
      </c>
      <c r="B1198" s="8" t="s">
        <v>1024</v>
      </c>
      <c r="C1198" s="21" t="s">
        <v>1320</v>
      </c>
      <c r="D1198" s="22" t="s">
        <v>165</v>
      </c>
      <c r="E1198" s="23">
        <v>70518</v>
      </c>
      <c r="F1198" s="15">
        <v>216161</v>
      </c>
      <c r="G1198" s="24" t="s">
        <v>6</v>
      </c>
      <c r="H1198" s="18">
        <v>1</v>
      </c>
      <c r="I1198" s="19"/>
      <c r="J1198" s="29">
        <v>115000</v>
      </c>
      <c r="K1198" s="19">
        <f t="shared" si="18"/>
        <v>44482</v>
      </c>
      <c r="L1198" s="18"/>
      <c r="M1198" s="18"/>
      <c r="N1198" s="18"/>
      <c r="O1198" s="20" t="s">
        <v>1037</v>
      </c>
    </row>
    <row r="1199" spans="1:15" ht="15" x14ac:dyDescent="0.25">
      <c r="A1199">
        <v>1197</v>
      </c>
      <c r="B1199" s="7" t="s">
        <v>849</v>
      </c>
      <c r="C1199" s="13" t="s">
        <v>1719</v>
      </c>
      <c r="D1199" s="14" t="s">
        <v>24</v>
      </c>
      <c r="E1199" s="15">
        <v>18088</v>
      </c>
      <c r="F1199" s="16">
        <v>9808</v>
      </c>
      <c r="G1199" s="17" t="s">
        <v>6</v>
      </c>
      <c r="H1199" s="18">
        <v>1</v>
      </c>
      <c r="I1199" s="19">
        <f>VLOOKUP(B1199,[1]Лист2!$A:$J,10,0)</f>
        <v>10931.53</v>
      </c>
      <c r="J1199" s="29">
        <v>11040.845300000001</v>
      </c>
      <c r="K1199" s="19">
        <f t="shared" si="18"/>
        <v>-7047.1546999999991</v>
      </c>
      <c r="L1199" s="18"/>
      <c r="M1199" s="18"/>
      <c r="N1199" s="18"/>
      <c r="O1199" s="20" t="s">
        <v>1037</v>
      </c>
    </row>
    <row r="1200" spans="1:15" ht="15" x14ac:dyDescent="0.25">
      <c r="A1200">
        <v>1198</v>
      </c>
      <c r="B1200" s="8" t="s">
        <v>1025</v>
      </c>
      <c r="C1200" s="21" t="s">
        <v>1861</v>
      </c>
      <c r="D1200" s="22" t="s">
        <v>24</v>
      </c>
      <c r="E1200" s="23">
        <v>17788</v>
      </c>
      <c r="F1200" s="15">
        <v>70996</v>
      </c>
      <c r="G1200" s="24" t="s">
        <v>6</v>
      </c>
      <c r="H1200" s="18">
        <v>1</v>
      </c>
      <c r="I1200" s="19"/>
      <c r="J1200" s="19">
        <v>68156.160000000003</v>
      </c>
      <c r="K1200" s="19">
        <f t="shared" si="18"/>
        <v>50368.160000000003</v>
      </c>
      <c r="L1200" s="18"/>
      <c r="M1200" s="18"/>
      <c r="N1200" s="18"/>
      <c r="O1200" s="20" t="s">
        <v>1037</v>
      </c>
    </row>
    <row r="1201" spans="1:15" ht="15" x14ac:dyDescent="0.25">
      <c r="A1201">
        <v>1199</v>
      </c>
      <c r="B1201" s="7" t="s">
        <v>1026</v>
      </c>
      <c r="C1201" s="13" t="s">
        <v>1862</v>
      </c>
      <c r="D1201" s="14" t="s">
        <v>1027</v>
      </c>
      <c r="E1201" s="15">
        <v>1340</v>
      </c>
      <c r="F1201" s="16">
        <v>712.71</v>
      </c>
      <c r="G1201" s="17" t="s">
        <v>9</v>
      </c>
      <c r="H1201" s="18">
        <v>1</v>
      </c>
      <c r="I1201" s="19">
        <f>VLOOKUP(B1201,[1]Лист2!$A:$J,10,0)</f>
        <v>803.76</v>
      </c>
      <c r="J1201" s="29">
        <v>811.79759999999999</v>
      </c>
      <c r="K1201" s="19">
        <f t="shared" si="18"/>
        <v>-528.20240000000001</v>
      </c>
      <c r="L1201" s="18"/>
      <c r="M1201" s="18"/>
      <c r="N1201" s="18"/>
      <c r="O1201" s="20" t="s">
        <v>1037</v>
      </c>
    </row>
    <row r="1202" spans="1:15" ht="15" x14ac:dyDescent="0.25">
      <c r="A1202">
        <v>1200</v>
      </c>
      <c r="B1202" s="8" t="s">
        <v>1028</v>
      </c>
      <c r="C1202" s="21" t="s">
        <v>1863</v>
      </c>
      <c r="D1202" s="22" t="s">
        <v>896</v>
      </c>
      <c r="E1202" s="15">
        <v>4264</v>
      </c>
      <c r="F1202" s="23">
        <v>1209</v>
      </c>
      <c r="G1202" s="24" t="s">
        <v>6</v>
      </c>
      <c r="H1202" s="18">
        <v>1</v>
      </c>
      <c r="I1202" s="19">
        <f>VLOOKUP(B1202,[1]Лист2!$A:$J,10,0)</f>
        <v>1485.3799999999999</v>
      </c>
      <c r="J1202" s="29">
        <v>1500.2338</v>
      </c>
      <c r="K1202" s="19">
        <f t="shared" si="18"/>
        <v>-2763.7662</v>
      </c>
      <c r="L1202" s="18"/>
      <c r="M1202" s="18"/>
      <c r="N1202" s="18"/>
      <c r="O1202" s="20" t="s">
        <v>1037</v>
      </c>
    </row>
    <row r="1203" spans="1:15" ht="15" x14ac:dyDescent="0.25">
      <c r="A1203">
        <v>1201</v>
      </c>
      <c r="B1203" s="7" t="s">
        <v>1029</v>
      </c>
      <c r="C1203" s="13" t="s">
        <v>1864</v>
      </c>
      <c r="D1203" s="14" t="s">
        <v>407</v>
      </c>
      <c r="E1203" s="16">
        <v>3847</v>
      </c>
      <c r="F1203" s="15">
        <v>6698.88</v>
      </c>
      <c r="G1203" s="17" t="s">
        <v>78</v>
      </c>
      <c r="H1203" s="18">
        <v>1</v>
      </c>
      <c r="I1203" s="19"/>
      <c r="J1203" s="19">
        <v>6430.9247999999998</v>
      </c>
      <c r="K1203" s="19">
        <f t="shared" si="18"/>
        <v>2583.9247999999998</v>
      </c>
      <c r="L1203" s="18"/>
      <c r="M1203" s="18"/>
      <c r="N1203" s="18"/>
      <c r="O1203" s="20" t="s">
        <v>1037</v>
      </c>
    </row>
    <row r="1204" spans="1:15" ht="15" x14ac:dyDescent="0.25">
      <c r="A1204">
        <v>1202</v>
      </c>
      <c r="B1204" s="8" t="s">
        <v>1030</v>
      </c>
      <c r="C1204" s="21" t="s">
        <v>1865</v>
      </c>
      <c r="D1204" s="22" t="s">
        <v>14</v>
      </c>
      <c r="E1204" s="23">
        <v>4851</v>
      </c>
      <c r="F1204" s="15">
        <v>12041</v>
      </c>
      <c r="G1204" s="24" t="s">
        <v>6</v>
      </c>
      <c r="H1204" s="18">
        <v>1</v>
      </c>
      <c r="I1204" s="19"/>
      <c r="J1204" s="19">
        <v>5520</v>
      </c>
      <c r="K1204" s="19">
        <f t="shared" si="18"/>
        <v>669</v>
      </c>
      <c r="L1204" s="18"/>
      <c r="M1204" s="18"/>
      <c r="N1204" s="18"/>
      <c r="O1204" s="20" t="s">
        <v>1037</v>
      </c>
    </row>
    <row r="1205" spans="1:15" ht="15" x14ac:dyDescent="0.25">
      <c r="A1205">
        <v>1203</v>
      </c>
      <c r="B1205" s="7" t="s">
        <v>1031</v>
      </c>
      <c r="C1205" s="13" t="s">
        <v>1660</v>
      </c>
      <c r="D1205" s="14" t="s">
        <v>119</v>
      </c>
      <c r="E1205" s="16">
        <v>4760</v>
      </c>
      <c r="F1205" s="15">
        <v>10548.22</v>
      </c>
      <c r="G1205" s="17" t="s">
        <v>11</v>
      </c>
      <c r="H1205" s="18">
        <v>1</v>
      </c>
      <c r="I1205" s="19"/>
      <c r="J1205" s="19">
        <v>6530</v>
      </c>
      <c r="K1205" s="19">
        <f t="shared" si="18"/>
        <v>1770</v>
      </c>
      <c r="L1205" s="18"/>
      <c r="M1205" s="18"/>
      <c r="N1205" s="18"/>
      <c r="O1205" s="20" t="s">
        <v>1037</v>
      </c>
    </row>
    <row r="1206" spans="1:15" ht="15" x14ac:dyDescent="0.25">
      <c r="A1206">
        <v>1204</v>
      </c>
      <c r="B1206" s="8" t="s">
        <v>1032</v>
      </c>
      <c r="C1206" s="21" t="s">
        <v>1866</v>
      </c>
      <c r="D1206" s="22" t="s">
        <v>233</v>
      </c>
      <c r="E1206" s="23">
        <v>16629</v>
      </c>
      <c r="F1206" s="15">
        <v>45511.5</v>
      </c>
      <c r="G1206" s="24" t="s">
        <v>11</v>
      </c>
      <c r="H1206" s="18">
        <v>1</v>
      </c>
      <c r="I1206" s="19"/>
      <c r="J1206" s="19">
        <v>29500</v>
      </c>
      <c r="K1206" s="19">
        <f t="shared" si="18"/>
        <v>12871</v>
      </c>
      <c r="L1206" s="18"/>
      <c r="M1206" s="18"/>
      <c r="N1206" s="18"/>
      <c r="O1206" s="20" t="s">
        <v>1037</v>
      </c>
    </row>
    <row r="1207" spans="1:15" ht="15" x14ac:dyDescent="0.25">
      <c r="A1207">
        <v>1205</v>
      </c>
      <c r="B1207" s="7" t="s">
        <v>1033</v>
      </c>
      <c r="C1207" s="13" t="s">
        <v>1867</v>
      </c>
      <c r="D1207" s="14" t="s">
        <v>233</v>
      </c>
      <c r="E1207" s="16">
        <v>31168</v>
      </c>
      <c r="F1207" s="15">
        <v>76791</v>
      </c>
      <c r="G1207" s="17" t="s">
        <v>6</v>
      </c>
      <c r="H1207" s="18">
        <v>1</v>
      </c>
      <c r="I1207" s="19"/>
      <c r="J1207" s="19">
        <v>39500</v>
      </c>
      <c r="K1207" s="19">
        <f t="shared" si="18"/>
        <v>8332</v>
      </c>
      <c r="L1207" s="18"/>
      <c r="M1207" s="18"/>
      <c r="N1207" s="18"/>
      <c r="O1207" s="20" t="s">
        <v>1037</v>
      </c>
    </row>
  </sheetData>
  <autoFilter ref="A2:Z1207" xr:uid="{0C962AF3-6AC1-456D-A66E-18A329886074}">
    <sortState ref="A3:O1207">
      <sortCondition ref="A2"/>
    </sortState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Проценка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Антонов Илья Геннадьевич</cp:lastModifiedBy>
  <dcterms:modified xsi:type="dcterms:W3CDTF">2026-07-07T07:40:42Z</dcterms:modified>
</cp:coreProperties>
</file>